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in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6" customWidth="1" min="5" max="5"/>
    <col width="16" customWidth="1" min="6" max="6"/>
    <col width="18" customWidth="1" min="7" max="7"/>
    <col width="14" customWidth="1" min="8" max="8"/>
    <col width="16" customWidth="1" min="9" max="9"/>
    <col width="11" customWidth="1" min="10" max="10"/>
    <col width="18" customWidth="1" min="11" max="11"/>
    <col width="30" customWidth="1" min="12" max="12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PAID IN FULL  |  Dec 2026  |  31 Loans</t>
        </is>
      </c>
    </row>
    <row r="3" ht="28" customHeight="1">
      <c r="A3" s="3" t="inlineStr">
        <is>
          <t>Loan ID</t>
        </is>
      </c>
      <c r="B3" s="3" t="inlineStr">
        <is>
          <t>Investor</t>
        </is>
      </c>
      <c r="C3" s="3" t="inlineStr">
        <is>
          <t>Loan Type</t>
        </is>
      </c>
      <c r="D3" s="3" t="inlineStr">
        <is>
          <t>Payoff Date</t>
        </is>
      </c>
      <c r="E3" s="3" t="inlineStr">
        <is>
          <t>Orig Balance ($)</t>
        </is>
      </c>
      <c r="F3" s="3" t="inlineStr">
        <is>
          <t>Final UPB ($)</t>
        </is>
      </c>
      <c r="G3" s="3" t="inlineStr">
        <is>
          <t>Payoff Amount ($)</t>
        </is>
      </c>
      <c r="H3" s="3" t="inlineStr">
        <is>
          <t>Interest Due ($)</t>
        </is>
      </c>
      <c r="I3" s="3" t="inlineStr">
        <is>
          <t>Fees / Penalties ($)</t>
        </is>
      </c>
      <c r="J3" s="3" t="inlineStr">
        <is>
          <t>Rate</t>
        </is>
      </c>
      <c r="K3" s="3" t="inlineStr">
        <is>
          <t>Payoff Reason</t>
        </is>
      </c>
      <c r="L3" s="3" t="inlineStr">
        <is>
          <t>Notes</t>
        </is>
      </c>
    </row>
    <row r="4">
      <c r="A4" s="4" t="inlineStr">
        <is>
          <t>MSR204108</t>
        </is>
      </c>
      <c r="B4" s="4" t="inlineStr">
        <is>
          <t>FHLMC</t>
        </is>
      </c>
      <c r="C4" s="4" t="inlineStr">
        <is>
          <t>FHA</t>
        </is>
      </c>
      <c r="D4" s="5" t="n">
        <v>46383</v>
      </c>
      <c r="E4" s="6" t="n">
        <v>405000</v>
      </c>
      <c r="F4" s="7" t="n">
        <v>390809.73</v>
      </c>
      <c r="G4" s="7" t="n">
        <v>393004.06</v>
      </c>
      <c r="H4" s="7" t="n">
        <v>2038.72</v>
      </c>
      <c r="I4" s="8" t="n">
        <v>155.61</v>
      </c>
      <c r="J4" s="9" t="n">
        <v>0.0626</v>
      </c>
      <c r="K4" s="4" t="inlineStr">
        <is>
          <t>Full Payoff</t>
        </is>
      </c>
      <c r="L4" s="10" t="inlineStr">
        <is>
          <t>Removed from portfolio 12/27/2026</t>
        </is>
      </c>
    </row>
    <row r="5">
      <c r="A5" s="11" t="inlineStr">
        <is>
          <t>MSR211018</t>
        </is>
      </c>
      <c r="B5" s="11" t="inlineStr">
        <is>
          <t>FHLMC</t>
        </is>
      </c>
      <c r="C5" s="11" t="inlineStr">
        <is>
          <t>Conventional</t>
        </is>
      </c>
      <c r="D5" s="12" t="n">
        <v>46370</v>
      </c>
      <c r="E5" s="13" t="n">
        <v>310000</v>
      </c>
      <c r="F5" s="14" t="n">
        <v>309669.53</v>
      </c>
      <c r="G5" s="14" t="n">
        <v>311187.5</v>
      </c>
      <c r="H5" s="14" t="n">
        <v>1455.45</v>
      </c>
      <c r="I5" s="15" t="n">
        <v>62.52</v>
      </c>
      <c r="J5" s="16" t="n">
        <v>0.0564</v>
      </c>
      <c r="K5" s="11" t="inlineStr">
        <is>
          <t>Full Payoff</t>
        </is>
      </c>
      <c r="L5" s="17" t="inlineStr">
        <is>
          <t>Removed from portfolio 12/14/2026</t>
        </is>
      </c>
    </row>
    <row r="6">
      <c r="A6" s="4" t="inlineStr">
        <is>
          <t>MSR202068</t>
        </is>
      </c>
      <c r="B6" s="4" t="inlineStr">
        <is>
          <t>FNMA</t>
        </is>
      </c>
      <c r="C6" s="4" t="inlineStr">
        <is>
          <t>Conventional</t>
        </is>
      </c>
      <c r="D6" s="5" t="n">
        <v>46378</v>
      </c>
      <c r="E6" s="6" t="n">
        <v>345000</v>
      </c>
      <c r="F6" s="7" t="n">
        <v>315733.46</v>
      </c>
      <c r="G6" s="7" t="n">
        <v>317688.09</v>
      </c>
      <c r="H6" s="7" t="n">
        <v>1673.39</v>
      </c>
      <c r="I6" s="8" t="n">
        <v>281.24</v>
      </c>
      <c r="J6" s="9" t="n">
        <v>0.0636</v>
      </c>
      <c r="K6" s="4" t="inlineStr">
        <is>
          <t>Sale Payoff</t>
        </is>
      </c>
      <c r="L6" s="10" t="inlineStr">
        <is>
          <t>Removed from portfolio 12/22/2026</t>
        </is>
      </c>
    </row>
    <row r="7">
      <c r="A7" s="11" t="inlineStr">
        <is>
          <t>MSR100712</t>
        </is>
      </c>
      <c r="B7" s="11" t="inlineStr">
        <is>
          <t>GNMA</t>
        </is>
      </c>
      <c r="C7" s="11" t="inlineStr">
        <is>
          <t>Conventional</t>
        </is>
      </c>
      <c r="D7" s="12" t="n">
        <v>46373</v>
      </c>
      <c r="E7" s="13" t="n">
        <v>375000</v>
      </c>
      <c r="F7" s="14" t="n">
        <v>314140.22</v>
      </c>
      <c r="G7" s="14" t="n">
        <v>315327.96</v>
      </c>
      <c r="H7" s="14" t="n">
        <v>1143.99</v>
      </c>
      <c r="I7" s="15" t="n">
        <v>43.75</v>
      </c>
      <c r="J7" s="16" t="n">
        <v>0.0437</v>
      </c>
      <c r="K7" s="11" t="inlineStr">
        <is>
          <t>Full Payoff</t>
        </is>
      </c>
      <c r="L7" s="17" t="inlineStr">
        <is>
          <t>Removed from portfolio 12/17/2026</t>
        </is>
      </c>
    </row>
    <row r="8">
      <c r="A8" s="4" t="inlineStr">
        <is>
          <t>MSR207161</t>
        </is>
      </c>
      <c r="B8" s="4" t="inlineStr">
        <is>
          <t>FNMA</t>
        </is>
      </c>
      <c r="C8" s="4" t="inlineStr">
        <is>
          <t>VA</t>
        </is>
      </c>
      <c r="D8" s="5" t="n">
        <v>46372</v>
      </c>
      <c r="E8" s="6" t="n">
        <v>345000</v>
      </c>
      <c r="F8" s="7" t="n">
        <v>339791.86</v>
      </c>
      <c r="G8" s="7" t="n">
        <v>341862.05</v>
      </c>
      <c r="H8" s="7" t="n">
        <v>1744.26</v>
      </c>
      <c r="I8" s="8" t="n">
        <v>325.93</v>
      </c>
      <c r="J8" s="9" t="n">
        <v>0.0616</v>
      </c>
      <c r="K8" s="4" t="inlineStr">
        <is>
          <t>Full Payoff</t>
        </is>
      </c>
      <c r="L8" s="10" t="inlineStr">
        <is>
          <t>Removed from portfolio 12/16/2026</t>
        </is>
      </c>
    </row>
    <row r="9">
      <c r="A9" s="11" t="inlineStr">
        <is>
          <t>MSR100114</t>
        </is>
      </c>
      <c r="B9" s="11" t="inlineStr">
        <is>
          <t>FNMA</t>
        </is>
      </c>
      <c r="C9" s="11" t="inlineStr">
        <is>
          <t>Conventional</t>
        </is>
      </c>
      <c r="D9" s="12" t="n">
        <v>46373</v>
      </c>
      <c r="E9" s="13" t="n">
        <v>175000</v>
      </c>
      <c r="F9" s="14" t="n">
        <v>58697.07</v>
      </c>
      <c r="G9" s="14" t="n">
        <v>58986.65</v>
      </c>
      <c r="H9" s="14" t="n">
        <v>198.59</v>
      </c>
      <c r="I9" s="15" t="n">
        <v>90.98999999999999</v>
      </c>
      <c r="J9" s="16" t="n">
        <v>0.0406</v>
      </c>
      <c r="K9" s="11" t="inlineStr">
        <is>
          <t>Full Payoff</t>
        </is>
      </c>
      <c r="L9" s="17" t="inlineStr">
        <is>
          <t>Removed from portfolio 12/17/2026</t>
        </is>
      </c>
    </row>
    <row r="10">
      <c r="A10" s="4" t="inlineStr">
        <is>
          <t>MSR209120</t>
        </is>
      </c>
      <c r="B10" s="4" t="inlineStr">
        <is>
          <t>FHLMC</t>
        </is>
      </c>
      <c r="C10" s="4" t="inlineStr">
        <is>
          <t>USDA</t>
        </is>
      </c>
      <c r="D10" s="5" t="n">
        <v>46372</v>
      </c>
      <c r="E10" s="6" t="n">
        <v>490000</v>
      </c>
      <c r="F10" s="7" t="n">
        <v>488589.83</v>
      </c>
      <c r="G10" s="7" t="n">
        <v>491145.02</v>
      </c>
      <c r="H10" s="7" t="n">
        <v>2532.52</v>
      </c>
      <c r="I10" s="8" t="n">
        <v>22.67</v>
      </c>
      <c r="J10" s="9" t="n">
        <v>0.0622</v>
      </c>
      <c r="K10" s="4" t="inlineStr">
        <is>
          <t>Sale Payoff</t>
        </is>
      </c>
      <c r="L10" s="10" t="inlineStr">
        <is>
          <t>Removed from portfolio 12/16/2026</t>
        </is>
      </c>
    </row>
    <row r="11">
      <c r="A11" s="11" t="inlineStr">
        <is>
          <t>MSR208008</t>
        </is>
      </c>
      <c r="B11" s="11" t="inlineStr">
        <is>
          <t>FNMA</t>
        </is>
      </c>
      <c r="C11" s="11" t="inlineStr">
        <is>
          <t>VA</t>
        </is>
      </c>
      <c r="D11" s="12" t="n">
        <v>46365</v>
      </c>
      <c r="E11" s="13" t="n">
        <v>470000</v>
      </c>
      <c r="F11" s="14" t="n">
        <v>468229.57</v>
      </c>
      <c r="G11" s="14" t="n">
        <v>470906.28</v>
      </c>
      <c r="H11" s="14" t="n">
        <v>2469.91</v>
      </c>
      <c r="I11" s="15" t="n">
        <v>206.8</v>
      </c>
      <c r="J11" s="16" t="n">
        <v>0.0633</v>
      </c>
      <c r="K11" s="11" t="inlineStr">
        <is>
          <t>Estate Payoff</t>
        </is>
      </c>
      <c r="L11" s="17" t="inlineStr">
        <is>
          <t>Removed from portfolio 12/09/2026</t>
        </is>
      </c>
    </row>
    <row r="12">
      <c r="A12" s="4" t="inlineStr">
        <is>
          <t>MSR200035</t>
        </is>
      </c>
      <c r="B12" s="4" t="inlineStr">
        <is>
          <t>FHLMC</t>
        </is>
      </c>
      <c r="C12" s="4" t="inlineStr">
        <is>
          <t>Conventional</t>
        </is>
      </c>
      <c r="D12" s="5" t="n">
        <v>46362</v>
      </c>
      <c r="E12" s="6" t="n">
        <v>280000</v>
      </c>
      <c r="F12" s="7" t="n">
        <v>277026.55</v>
      </c>
      <c r="G12" s="7" t="n">
        <v>278840.96</v>
      </c>
      <c r="H12" s="7" t="n">
        <v>1662.16</v>
      </c>
      <c r="I12" s="8" t="n">
        <v>152.25</v>
      </c>
      <c r="J12" s="9" t="n">
        <v>0.07199999999999999</v>
      </c>
      <c r="K12" s="4" t="inlineStr">
        <is>
          <t>Estate Payoff</t>
        </is>
      </c>
      <c r="L12" s="10" t="inlineStr">
        <is>
          <t>Removed from portfolio 12/06/2026</t>
        </is>
      </c>
    </row>
    <row r="13">
      <c r="A13" s="11" t="inlineStr">
        <is>
          <t>MSR100527</t>
        </is>
      </c>
      <c r="B13" s="11" t="inlineStr">
        <is>
          <t>FNMA</t>
        </is>
      </c>
      <c r="C13" s="11" t="inlineStr">
        <is>
          <t>Conventional</t>
        </is>
      </c>
      <c r="D13" s="12" t="n">
        <v>46379</v>
      </c>
      <c r="E13" s="13" t="n">
        <v>355000</v>
      </c>
      <c r="F13" s="14" t="n">
        <v>307397.05</v>
      </c>
      <c r="G13" s="14" t="n">
        <v>308407.17</v>
      </c>
      <c r="H13" s="14" t="n">
        <v>727.51</v>
      </c>
      <c r="I13" s="15" t="n">
        <v>282.61</v>
      </c>
      <c r="J13" s="16" t="n">
        <v>0.0284</v>
      </c>
      <c r="K13" s="11" t="inlineStr">
        <is>
          <t>Estate Payoff</t>
        </is>
      </c>
      <c r="L13" s="17" t="inlineStr">
        <is>
          <t>Removed from portfolio 12/23/2026</t>
        </is>
      </c>
    </row>
    <row r="14">
      <c r="A14" s="4" t="inlineStr">
        <is>
          <t>MSR211121</t>
        </is>
      </c>
      <c r="B14" s="4" t="inlineStr">
        <is>
          <t>GNMA</t>
        </is>
      </c>
      <c r="C14" s="4" t="inlineStr">
        <is>
          <t>Conventional</t>
        </is>
      </c>
      <c r="D14" s="5" t="n">
        <v>46380</v>
      </c>
      <c r="E14" s="6" t="n">
        <v>225000</v>
      </c>
      <c r="F14" s="7" t="n">
        <v>224756.95</v>
      </c>
      <c r="G14" s="7" t="n">
        <v>226021.54</v>
      </c>
      <c r="H14" s="7" t="n">
        <v>1043.25</v>
      </c>
      <c r="I14" s="8" t="n">
        <v>221.34</v>
      </c>
      <c r="J14" s="9" t="n">
        <v>0.0557</v>
      </c>
      <c r="K14" s="4" t="inlineStr">
        <is>
          <t>Estate Payoff</t>
        </is>
      </c>
      <c r="L14" s="10" t="inlineStr">
        <is>
          <t>Removed from portfolio 12/24/2026</t>
        </is>
      </c>
    </row>
    <row r="15">
      <c r="A15" s="11" t="inlineStr">
        <is>
          <t>MSR208004</t>
        </is>
      </c>
      <c r="B15" s="11" t="inlineStr">
        <is>
          <t>FNMA</t>
        </is>
      </c>
      <c r="C15" s="11" t="inlineStr">
        <is>
          <t>FHA</t>
        </is>
      </c>
      <c r="D15" s="12" t="n">
        <v>46372</v>
      </c>
      <c r="E15" s="13" t="n">
        <v>255000</v>
      </c>
      <c r="F15" s="14" t="n">
        <v>253509.49</v>
      </c>
      <c r="G15" s="14" t="n">
        <v>254957.78</v>
      </c>
      <c r="H15" s="14" t="n">
        <v>1305.57</v>
      </c>
      <c r="I15" s="15" t="n">
        <v>142.72</v>
      </c>
      <c r="J15" s="16" t="n">
        <v>0.0618</v>
      </c>
      <c r="K15" s="11" t="inlineStr">
        <is>
          <t>Refinance Payoff</t>
        </is>
      </c>
      <c r="L15" s="17" t="inlineStr">
        <is>
          <t>Removed from portfolio 12/16/2026</t>
        </is>
      </c>
    </row>
    <row r="16">
      <c r="A16" s="4" t="inlineStr">
        <is>
          <t>MSR100593</t>
        </is>
      </c>
      <c r="B16" s="4" t="inlineStr">
        <is>
          <t>FNMA</t>
        </is>
      </c>
      <c r="C16" s="4" t="inlineStr">
        <is>
          <t>Conventional</t>
        </is>
      </c>
      <c r="D16" s="5" t="n">
        <v>46361</v>
      </c>
      <c r="E16" s="6" t="n">
        <v>355000</v>
      </c>
      <c r="F16" s="7" t="n">
        <v>267604.1</v>
      </c>
      <c r="G16" s="7" t="n">
        <v>268755.99</v>
      </c>
      <c r="H16" s="7" t="n">
        <v>1094.95</v>
      </c>
      <c r="I16" s="8" t="n">
        <v>56.94</v>
      </c>
      <c r="J16" s="9" t="n">
        <v>0.0491</v>
      </c>
      <c r="K16" s="4" t="inlineStr">
        <is>
          <t>Full Payoff</t>
        </is>
      </c>
      <c r="L16" s="10" t="inlineStr">
        <is>
          <t>Removed from portfolio 12/05/2026</t>
        </is>
      </c>
    </row>
    <row r="17">
      <c r="A17" s="11" t="inlineStr">
        <is>
          <t>MSR208137</t>
        </is>
      </c>
      <c r="B17" s="11" t="inlineStr">
        <is>
          <t>FNMA</t>
        </is>
      </c>
      <c r="C17" s="11" t="inlineStr">
        <is>
          <t>Conventional</t>
        </is>
      </c>
      <c r="D17" s="12" t="n">
        <v>46359</v>
      </c>
      <c r="E17" s="13" t="n">
        <v>415000</v>
      </c>
      <c r="F17" s="14" t="n">
        <v>413385.03</v>
      </c>
      <c r="G17" s="14" t="n">
        <v>415811.62</v>
      </c>
      <c r="H17" s="14" t="n">
        <v>2122.04</v>
      </c>
      <c r="I17" s="15" t="n">
        <v>304.55</v>
      </c>
      <c r="J17" s="16" t="n">
        <v>0.0616</v>
      </c>
      <c r="K17" s="11" t="inlineStr">
        <is>
          <t>Full Payoff</t>
        </is>
      </c>
      <c r="L17" s="17" t="inlineStr">
        <is>
          <t>Removed from portfolio 12/03/2026</t>
        </is>
      </c>
    </row>
    <row r="18">
      <c r="A18" s="4" t="inlineStr">
        <is>
          <t>MSR100300</t>
        </is>
      </c>
      <c r="B18" s="4" t="inlineStr">
        <is>
          <t>Portfolio</t>
        </is>
      </c>
      <c r="C18" s="4" t="inlineStr">
        <is>
          <t>VA</t>
        </is>
      </c>
      <c r="D18" s="5" t="n">
        <v>46368</v>
      </c>
      <c r="E18" s="6" t="n">
        <v>440000</v>
      </c>
      <c r="F18" s="7" t="n">
        <v>338112.7</v>
      </c>
      <c r="G18" s="7" t="n">
        <v>339570.15</v>
      </c>
      <c r="H18" s="7" t="n">
        <v>1217.21</v>
      </c>
      <c r="I18" s="8" t="n">
        <v>240.24</v>
      </c>
      <c r="J18" s="9" t="n">
        <v>0.0432</v>
      </c>
      <c r="K18" s="4" t="inlineStr">
        <is>
          <t>Estate Payoff</t>
        </is>
      </c>
      <c r="L18" s="10" t="inlineStr">
        <is>
          <t>Removed from portfolio 12/12/2026</t>
        </is>
      </c>
    </row>
    <row r="19">
      <c r="A19" s="11" t="inlineStr">
        <is>
          <t>MSR200147</t>
        </is>
      </c>
      <c r="B19" s="11" t="inlineStr">
        <is>
          <t>FHLMC</t>
        </is>
      </c>
      <c r="C19" s="11" t="inlineStr">
        <is>
          <t>Conventional</t>
        </is>
      </c>
      <c r="D19" s="12" t="n">
        <v>46365</v>
      </c>
      <c r="E19" s="13" t="n">
        <v>455000</v>
      </c>
      <c r="F19" s="14" t="n">
        <v>451454.02</v>
      </c>
      <c r="G19" s="14" t="n">
        <v>453946.51</v>
      </c>
      <c r="H19" s="14" t="n">
        <v>2475.47</v>
      </c>
      <c r="I19" s="15" t="n">
        <v>17.02</v>
      </c>
      <c r="J19" s="16" t="n">
        <v>0.0658</v>
      </c>
      <c r="K19" s="11" t="inlineStr">
        <is>
          <t>Full Payoff</t>
        </is>
      </c>
      <c r="L19" s="17" t="inlineStr">
        <is>
          <t>Removed from portfolio 12/09/2026</t>
        </is>
      </c>
    </row>
    <row r="20">
      <c r="A20" s="4" t="inlineStr">
        <is>
          <t>MSR202137</t>
        </is>
      </c>
      <c r="B20" s="4" t="inlineStr">
        <is>
          <t>FNMA</t>
        </is>
      </c>
      <c r="C20" s="4" t="inlineStr">
        <is>
          <t>Conventional</t>
        </is>
      </c>
      <c r="D20" s="5" t="n">
        <v>46358</v>
      </c>
      <c r="E20" s="6" t="n">
        <v>495000</v>
      </c>
      <c r="F20" s="7" t="n">
        <v>489854.94</v>
      </c>
      <c r="G20" s="7" t="n">
        <v>492640.34</v>
      </c>
      <c r="H20" s="7" t="n">
        <v>2616.64</v>
      </c>
      <c r="I20" s="8" t="n">
        <v>168.76</v>
      </c>
      <c r="J20" s="9" t="n">
        <v>0.0641</v>
      </c>
      <c r="K20" s="4" t="inlineStr">
        <is>
          <t>Full Payoff</t>
        </is>
      </c>
      <c r="L20" s="10" t="inlineStr">
        <is>
          <t>Removed from portfolio 12/02/2026</t>
        </is>
      </c>
    </row>
    <row r="21">
      <c r="A21" s="11" t="inlineStr">
        <is>
          <t>MSR100905</t>
        </is>
      </c>
      <c r="B21" s="11" t="inlineStr">
        <is>
          <t>FHLMC</t>
        </is>
      </c>
      <c r="C21" s="11" t="inlineStr">
        <is>
          <t>VA</t>
        </is>
      </c>
      <c r="D21" s="12" t="n">
        <v>46364</v>
      </c>
      <c r="E21" s="13" t="n">
        <v>275000</v>
      </c>
      <c r="F21" s="14" t="n">
        <v>265344.26</v>
      </c>
      <c r="G21" s="14" t="n">
        <v>266987.77</v>
      </c>
      <c r="H21" s="14" t="n">
        <v>1424.01</v>
      </c>
      <c r="I21" s="15" t="n">
        <v>219.5</v>
      </c>
      <c r="J21" s="16" t="n">
        <v>0.0644</v>
      </c>
      <c r="K21" s="11" t="inlineStr">
        <is>
          <t>Refinance Payoff</t>
        </is>
      </c>
      <c r="L21" s="17" t="inlineStr">
        <is>
          <t>Removed from portfolio 12/08/2026</t>
        </is>
      </c>
    </row>
    <row r="22">
      <c r="A22" s="4" t="inlineStr">
        <is>
          <t>MSR100139</t>
        </is>
      </c>
      <c r="B22" s="4" t="inlineStr">
        <is>
          <t>FNMA</t>
        </is>
      </c>
      <c r="C22" s="4" t="inlineStr">
        <is>
          <t>Conventional</t>
        </is>
      </c>
      <c r="D22" s="5" t="n">
        <v>46374</v>
      </c>
      <c r="E22" s="6" t="n">
        <v>370000</v>
      </c>
      <c r="F22" s="7" t="n">
        <v>349638.62</v>
      </c>
      <c r="G22" s="7" t="n">
        <v>351774.6</v>
      </c>
      <c r="H22" s="7" t="n">
        <v>1975.46</v>
      </c>
      <c r="I22" s="8" t="n">
        <v>160.52</v>
      </c>
      <c r="J22" s="9" t="n">
        <v>0.0678</v>
      </c>
      <c r="K22" s="4" t="inlineStr">
        <is>
          <t>Refinance Payoff</t>
        </is>
      </c>
      <c r="L22" s="10" t="inlineStr">
        <is>
          <t>Removed from portfolio 12/18/2026</t>
        </is>
      </c>
    </row>
    <row r="23">
      <c r="A23" s="11" t="inlineStr">
        <is>
          <t>MSR206215</t>
        </is>
      </c>
      <c r="B23" s="11" t="inlineStr">
        <is>
          <t>GNMA</t>
        </is>
      </c>
      <c r="C23" s="11" t="inlineStr">
        <is>
          <t>Conventional</t>
        </is>
      </c>
      <c r="D23" s="12" t="n">
        <v>46358</v>
      </c>
      <c r="E23" s="13" t="n">
        <v>315000</v>
      </c>
      <c r="F23" s="14" t="n">
        <v>312537.04</v>
      </c>
      <c r="G23" s="14" t="n">
        <v>314315.6</v>
      </c>
      <c r="H23" s="14" t="n">
        <v>1612.17</v>
      </c>
      <c r="I23" s="15" t="n">
        <v>166.39</v>
      </c>
      <c r="J23" s="16" t="n">
        <v>0.0619</v>
      </c>
      <c r="K23" s="11" t="inlineStr">
        <is>
          <t>Estate Payoff</t>
        </is>
      </c>
      <c r="L23" s="17" t="inlineStr">
        <is>
          <t>Removed from portfolio 12/02/2026</t>
        </is>
      </c>
    </row>
    <row r="24">
      <c r="A24" s="4" t="inlineStr">
        <is>
          <t>MSR100512</t>
        </is>
      </c>
      <c r="B24" s="4" t="inlineStr">
        <is>
          <t>FHLMC</t>
        </is>
      </c>
      <c r="C24" s="4" t="inlineStr">
        <is>
          <t>Conventional</t>
        </is>
      </c>
      <c r="D24" s="5" t="n">
        <v>46377</v>
      </c>
      <c r="E24" s="6" t="n">
        <v>495000</v>
      </c>
      <c r="F24" s="7" t="n">
        <v>381751.7</v>
      </c>
      <c r="G24" s="7" t="n">
        <v>383208.6</v>
      </c>
      <c r="H24" s="7" t="n">
        <v>1205.7</v>
      </c>
      <c r="I24" s="8" t="n">
        <v>251.2</v>
      </c>
      <c r="J24" s="9" t="n">
        <v>0.0379</v>
      </c>
      <c r="K24" s="4" t="inlineStr">
        <is>
          <t>Refinance Payoff</t>
        </is>
      </c>
      <c r="L24" s="10" t="inlineStr">
        <is>
          <t>Removed from portfolio 12/21/2026</t>
        </is>
      </c>
    </row>
    <row r="25">
      <c r="A25" s="11" t="inlineStr">
        <is>
          <t>MSR203098</t>
        </is>
      </c>
      <c r="B25" s="11" t="inlineStr">
        <is>
          <t>GNMA</t>
        </is>
      </c>
      <c r="C25" s="11" t="inlineStr">
        <is>
          <t>FHA</t>
        </is>
      </c>
      <c r="D25" s="12" t="n">
        <v>46369</v>
      </c>
      <c r="E25" s="13" t="n">
        <v>400000</v>
      </c>
      <c r="F25" s="14" t="n">
        <v>392150.97</v>
      </c>
      <c r="G25" s="14" t="n">
        <v>394364.39</v>
      </c>
      <c r="H25" s="14" t="n">
        <v>1996.7</v>
      </c>
      <c r="I25" s="15" t="n">
        <v>216.72</v>
      </c>
      <c r="J25" s="16" t="n">
        <v>0.0611</v>
      </c>
      <c r="K25" s="11" t="inlineStr">
        <is>
          <t>Sale Payoff</t>
        </is>
      </c>
      <c r="L25" s="17" t="inlineStr">
        <is>
          <t>Removed from portfolio 12/13/2026</t>
        </is>
      </c>
    </row>
    <row r="26">
      <c r="A26" s="4" t="inlineStr">
        <is>
          <t>MSR208120</t>
        </is>
      </c>
      <c r="B26" s="4" t="inlineStr">
        <is>
          <t>FHLMC</t>
        </is>
      </c>
      <c r="C26" s="4" t="inlineStr">
        <is>
          <t>Conventional</t>
        </is>
      </c>
      <c r="D26" s="5" t="n">
        <v>46367</v>
      </c>
      <c r="E26" s="6" t="n">
        <v>505000</v>
      </c>
      <c r="F26" s="7" t="n">
        <v>502076.17</v>
      </c>
      <c r="G26" s="7" t="n">
        <v>504741.31</v>
      </c>
      <c r="H26" s="7" t="n">
        <v>2606.61</v>
      </c>
      <c r="I26" s="8" t="n">
        <v>58.53</v>
      </c>
      <c r="J26" s="9" t="n">
        <v>0.0623</v>
      </c>
      <c r="K26" s="4" t="inlineStr">
        <is>
          <t>Full Payoff</t>
        </is>
      </c>
      <c r="L26" s="10" t="inlineStr">
        <is>
          <t>Removed from portfolio 12/11/2026</t>
        </is>
      </c>
    </row>
    <row r="27">
      <c r="A27" s="11" t="inlineStr">
        <is>
          <t>MSR208160</t>
        </is>
      </c>
      <c r="B27" s="11" t="inlineStr">
        <is>
          <t>FNMA</t>
        </is>
      </c>
      <c r="C27" s="11" t="inlineStr">
        <is>
          <t>FHA</t>
        </is>
      </c>
      <c r="D27" s="12" t="n">
        <v>46366</v>
      </c>
      <c r="E27" s="13" t="n">
        <v>190000</v>
      </c>
      <c r="F27" s="14" t="n">
        <v>186093.03</v>
      </c>
      <c r="G27" s="14" t="n">
        <v>187246.91</v>
      </c>
      <c r="H27" s="14" t="n">
        <v>959.9299999999999</v>
      </c>
      <c r="I27" s="15" t="n">
        <v>193.95</v>
      </c>
      <c r="J27" s="16" t="n">
        <v>0.0619</v>
      </c>
      <c r="K27" s="11" t="inlineStr">
        <is>
          <t>Sale Payoff</t>
        </is>
      </c>
      <c r="L27" s="17" t="inlineStr">
        <is>
          <t>Removed from portfolio 12/10/2026</t>
        </is>
      </c>
    </row>
    <row r="28">
      <c r="A28" s="4" t="inlineStr">
        <is>
          <t>MSR210157</t>
        </is>
      </c>
      <c r="B28" s="4" t="inlineStr">
        <is>
          <t>FHLMC</t>
        </is>
      </c>
      <c r="C28" s="4" t="inlineStr">
        <is>
          <t>FHA</t>
        </is>
      </c>
      <c r="D28" s="5" t="n">
        <v>46365</v>
      </c>
      <c r="E28" s="6" t="n">
        <v>400000</v>
      </c>
      <c r="F28" s="7" t="n">
        <v>398685.44</v>
      </c>
      <c r="G28" s="7" t="n">
        <v>400760.29</v>
      </c>
      <c r="H28" s="7" t="n">
        <v>1833.95</v>
      </c>
      <c r="I28" s="8" t="n">
        <v>240.9</v>
      </c>
      <c r="J28" s="9" t="n">
        <v>0.0552</v>
      </c>
      <c r="K28" s="4" t="inlineStr">
        <is>
          <t>Full Payoff</t>
        </is>
      </c>
      <c r="L28" s="10" t="inlineStr">
        <is>
          <t>Removed from portfolio 12/09/2026</t>
        </is>
      </c>
    </row>
    <row r="29">
      <c r="A29" s="11" t="inlineStr">
        <is>
          <t>MSR200044</t>
        </is>
      </c>
      <c r="B29" s="11" t="inlineStr">
        <is>
          <t>FHLMC</t>
        </is>
      </c>
      <c r="C29" s="11" t="inlineStr">
        <is>
          <t>FHA</t>
        </is>
      </c>
      <c r="D29" s="12" t="n">
        <v>46361</v>
      </c>
      <c r="E29" s="13" t="n">
        <v>340000</v>
      </c>
      <c r="F29" s="14" t="n">
        <v>336341.62</v>
      </c>
      <c r="G29" s="14" t="n">
        <v>338479.89</v>
      </c>
      <c r="H29" s="14" t="n">
        <v>1877.91</v>
      </c>
      <c r="I29" s="15" t="n">
        <v>260.36</v>
      </c>
      <c r="J29" s="16" t="n">
        <v>0.067</v>
      </c>
      <c r="K29" s="11" t="inlineStr">
        <is>
          <t>Refinance Payoff</t>
        </is>
      </c>
      <c r="L29" s="17" t="inlineStr">
        <is>
          <t>Removed from portfolio 12/05/2026</t>
        </is>
      </c>
    </row>
    <row r="30">
      <c r="A30" s="4" t="inlineStr">
        <is>
          <t>MSR100204</t>
        </is>
      </c>
      <c r="B30" s="4" t="inlineStr">
        <is>
          <t>GNMA</t>
        </is>
      </c>
      <c r="C30" s="4" t="inlineStr">
        <is>
          <t>VA</t>
        </is>
      </c>
      <c r="D30" s="5" t="n">
        <v>46359</v>
      </c>
      <c r="E30" s="6" t="n">
        <v>365000</v>
      </c>
      <c r="F30" s="7" t="n">
        <v>339950.92</v>
      </c>
      <c r="G30" s="7" t="n">
        <v>341455.18</v>
      </c>
      <c r="H30" s="7" t="n">
        <v>1365.47</v>
      </c>
      <c r="I30" s="8" t="n">
        <v>138.79</v>
      </c>
      <c r="J30" s="9" t="n">
        <v>0.0482</v>
      </c>
      <c r="K30" s="4" t="inlineStr">
        <is>
          <t>Refinance Payoff</t>
        </is>
      </c>
      <c r="L30" s="10" t="inlineStr">
        <is>
          <t>Removed from portfolio 12/03/2026</t>
        </is>
      </c>
    </row>
    <row r="31">
      <c r="A31" s="11" t="inlineStr">
        <is>
          <t>MSR204059</t>
        </is>
      </c>
      <c r="B31" s="11" t="inlineStr">
        <is>
          <t>FHLMC</t>
        </is>
      </c>
      <c r="C31" s="11" t="inlineStr">
        <is>
          <t>USDA</t>
        </is>
      </c>
      <c r="D31" s="12" t="n">
        <v>46374</v>
      </c>
      <c r="E31" s="13" t="n">
        <v>335000</v>
      </c>
      <c r="F31" s="14" t="n">
        <v>332415.19</v>
      </c>
      <c r="G31" s="14" t="n">
        <v>334478.39</v>
      </c>
      <c r="H31" s="14" t="n">
        <v>1734.1</v>
      </c>
      <c r="I31" s="15" t="n">
        <v>329.1</v>
      </c>
      <c r="J31" s="16" t="n">
        <v>0.0626</v>
      </c>
      <c r="K31" s="11" t="inlineStr">
        <is>
          <t>Refinance Payoff</t>
        </is>
      </c>
      <c r="L31" s="17" t="inlineStr">
        <is>
          <t>Removed from portfolio 12/18/2026</t>
        </is>
      </c>
    </row>
    <row r="32">
      <c r="A32" s="4" t="inlineStr">
        <is>
          <t>MSR203125</t>
        </is>
      </c>
      <c r="B32" s="4" t="inlineStr">
        <is>
          <t>FNMA</t>
        </is>
      </c>
      <c r="C32" s="4" t="inlineStr">
        <is>
          <t>Conventional</t>
        </is>
      </c>
      <c r="D32" s="5" t="n">
        <v>46375</v>
      </c>
      <c r="E32" s="6" t="n">
        <v>410000</v>
      </c>
      <c r="F32" s="7" t="n">
        <v>396078.99</v>
      </c>
      <c r="G32" s="7" t="n">
        <v>398352.22</v>
      </c>
      <c r="H32" s="7" t="n">
        <v>2122.32</v>
      </c>
      <c r="I32" s="8" t="n">
        <v>150.91</v>
      </c>
      <c r="J32" s="9" t="n">
        <v>0.0643</v>
      </c>
      <c r="K32" s="4" t="inlineStr">
        <is>
          <t>Refinance Payoff</t>
        </is>
      </c>
      <c r="L32" s="10" t="inlineStr">
        <is>
          <t>Removed from portfolio 12/19/2026</t>
        </is>
      </c>
    </row>
    <row r="33">
      <c r="A33" s="11" t="inlineStr">
        <is>
          <t>MSR204129</t>
        </is>
      </c>
      <c r="B33" s="11" t="inlineStr">
        <is>
          <t>GNMA</t>
        </is>
      </c>
      <c r="C33" s="11" t="inlineStr">
        <is>
          <t>Conventional</t>
        </is>
      </c>
      <c r="D33" s="12" t="n">
        <v>46375</v>
      </c>
      <c r="E33" s="13" t="n">
        <v>290000</v>
      </c>
      <c r="F33" s="14" t="n">
        <v>287432.72</v>
      </c>
      <c r="G33" s="14" t="n">
        <v>288984.43</v>
      </c>
      <c r="H33" s="14" t="n">
        <v>1477.88</v>
      </c>
      <c r="I33" s="15" t="n">
        <v>73.83</v>
      </c>
      <c r="J33" s="16" t="n">
        <v>0.0617</v>
      </c>
      <c r="K33" s="11" t="inlineStr">
        <is>
          <t>Estate Payoff</t>
        </is>
      </c>
      <c r="L33" s="17" t="inlineStr">
        <is>
          <t>Removed from portfolio 12/19/2026</t>
        </is>
      </c>
    </row>
    <row r="34">
      <c r="A34" s="4" t="inlineStr">
        <is>
          <t>MSR100118</t>
        </is>
      </c>
      <c r="B34" s="4" t="inlineStr">
        <is>
          <t>FHLMC</t>
        </is>
      </c>
      <c r="C34" s="4" t="inlineStr">
        <is>
          <t>Conventional</t>
        </is>
      </c>
      <c r="D34" s="5" t="n">
        <v>46382</v>
      </c>
      <c r="E34" s="6" t="n">
        <v>355000</v>
      </c>
      <c r="F34" s="7" t="n">
        <v>299114.91</v>
      </c>
      <c r="G34" s="7" t="n">
        <v>299961.34</v>
      </c>
      <c r="H34" s="7" t="n">
        <v>755.27</v>
      </c>
      <c r="I34" s="8" t="n">
        <v>91.16</v>
      </c>
      <c r="J34" s="9" t="n">
        <v>0.0303</v>
      </c>
      <c r="K34" s="4" t="inlineStr">
        <is>
          <t>Full Payoff</t>
        </is>
      </c>
      <c r="L34" s="10" t="inlineStr">
        <is>
          <t>Removed from portfolio 12/26/2026</t>
        </is>
      </c>
    </row>
    <row r="35">
      <c r="A35" s="18" t="inlineStr">
        <is>
          <t>TOTALS</t>
        </is>
      </c>
      <c r="B35" s="19" t="n"/>
      <c r="C35" s="19" t="n"/>
      <c r="D35" s="19" t="n"/>
      <c r="E35" s="20">
        <f>SUM(E4:E34)</f>
        <v/>
      </c>
      <c r="F35" s="20">
        <f>SUM(F4:F34)</f>
        <v/>
      </c>
      <c r="G35" s="20">
        <f>SUM(G4:G34)</f>
        <v/>
      </c>
      <c r="H35" s="20">
        <f>SUM(H4:H34)</f>
        <v/>
      </c>
      <c r="I35" s="20">
        <f>SUM(I4:I34)</f>
        <v/>
      </c>
      <c r="J35" s="19" t="n"/>
      <c r="K35" s="19" t="n"/>
      <c r="L35" s="19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2026-02-22T20:27:27Z</dcterms:created>
  <dcterms:modified xmlns:dcterms="http://purl.org/dc/terms/" xmlns:xsi="http://www.w3.org/2001/XMLSchema-instance" xsi:type="dcterms:W3CDTF">2026-02-22T20:27:27Z</dcterms:modified>
</cp:coreProperties>
</file>