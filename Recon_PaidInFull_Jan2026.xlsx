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d in Ful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0.000%"/>
  </numFmts>
  <fonts count="7">
    <font>
      <name val="Calibri"/>
      <family val="2"/>
      <color theme="1"/>
      <sz val="11"/>
      <scheme val="minor"/>
    </font>
    <font>
      <name val="Arial"/>
      <b val="1"/>
      <i val="1"/>
      <color rgb="007B3F00"/>
      <sz val="9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0000"/>
      <sz val="9"/>
    </font>
    <font>
      <name val="Arial"/>
      <b val="1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7B2C2C"/>
      </patternFill>
    </fill>
    <fill>
      <patternFill patternType="solid">
        <fgColor rgb="00FCE4D6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right" vertical="center"/>
    </xf>
    <xf numFmtId="4" fontId="4" fillId="4" borderId="1" applyAlignment="1" pivotButton="0" quotePrefix="0" xfId="0">
      <alignment horizontal="right" vertical="center"/>
    </xf>
    <xf numFmtId="4" fontId="5" fillId="4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/>
    </xf>
    <xf numFmtId="0" fontId="0" fillId="5" borderId="1" pivotButton="0" quotePrefix="0" xfId="0"/>
    <xf numFmtId="4" fontId="6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3" customWidth="1" min="3" max="3"/>
    <col width="13" customWidth="1" min="4" max="4"/>
    <col width="16" customWidth="1" min="5" max="5"/>
    <col width="16" customWidth="1" min="6" max="6"/>
    <col width="18" customWidth="1" min="7" max="7"/>
    <col width="14" customWidth="1" min="8" max="8"/>
    <col width="16" customWidth="1" min="9" max="9"/>
    <col width="16" customWidth="1" min="10" max="10"/>
    <col width="11" customWidth="1" min="11" max="11"/>
    <col width="18" customWidth="1" min="12" max="12"/>
    <col width="28" customWidth="1" min="13" max="13"/>
  </cols>
  <sheetData>
    <row r="1" ht="16" customHeight="1">
      <c r="A1" s="1" t="inlineStr">
        <is>
          <t>SIMULATED DATA — All loan information is synthetic and generated for testing purposes only. Not representative of any real portfolio.</t>
        </is>
      </c>
    </row>
    <row r="2" ht="26" customHeight="1">
      <c r="A2" s="2" t="inlineStr">
        <is>
          <t>RECONCILIATION — PAID IN FULL  |  January 2026  |  12 Loans</t>
        </is>
      </c>
    </row>
    <row r="3" ht="28" customHeight="1">
      <c r="A3" s="3" t="inlineStr">
        <is>
          <t>Loan ID</t>
        </is>
      </c>
      <c r="B3" s="3" t="inlineStr">
        <is>
          <t>Investor</t>
        </is>
      </c>
      <c r="C3" s="3" t="inlineStr">
        <is>
          <t>Loan Type</t>
        </is>
      </c>
      <c r="D3" s="3" t="inlineStr">
        <is>
          <t>Payoff Date</t>
        </is>
      </c>
      <c r="E3" s="3" t="inlineStr">
        <is>
          <t>Orig Balance ($)</t>
        </is>
      </c>
      <c r="F3" s="3" t="inlineStr">
        <is>
          <t>Final UPB ($)</t>
        </is>
      </c>
      <c r="G3" s="3" t="inlineStr">
        <is>
          <t>Payoff Amount ($)</t>
        </is>
      </c>
      <c r="H3" s="3" t="inlineStr">
        <is>
          <t>Interest Due ($)</t>
        </is>
      </c>
      <c r="I3" s="3" t="inlineStr">
        <is>
          <t>Fees / Penalties ($)</t>
        </is>
      </c>
      <c r="J3" s="3" t="inlineStr">
        <is>
          <t>Net Proceeds ($)</t>
        </is>
      </c>
      <c r="K3" s="3" t="inlineStr">
        <is>
          <t>Rate</t>
        </is>
      </c>
      <c r="L3" s="3" t="inlineStr">
        <is>
          <t>Payoff Reason</t>
        </is>
      </c>
      <c r="M3" s="3" t="inlineStr">
        <is>
          <t>Notes</t>
        </is>
      </c>
    </row>
    <row r="4">
      <c r="A4" s="4" t="inlineStr">
        <is>
          <t>MSR100034</t>
        </is>
      </c>
      <c r="B4" s="4" t="inlineStr">
        <is>
          <t>FHLMC</t>
        </is>
      </c>
      <c r="C4" s="4" t="inlineStr">
        <is>
          <t>FHA</t>
        </is>
      </c>
      <c r="D4" s="5" t="n">
        <v>46031</v>
      </c>
      <c r="E4" s="6" t="n">
        <v>485000</v>
      </c>
      <c r="F4" s="7" t="n">
        <v>424666.91</v>
      </c>
      <c r="G4" s="7" t="n">
        <v>426984.98</v>
      </c>
      <c r="H4" s="7" t="n">
        <v>2229.5</v>
      </c>
      <c r="I4" s="8" t="n">
        <v>88.56999999999999</v>
      </c>
      <c r="J4" s="7" t="n">
        <v>426984.98</v>
      </c>
      <c r="K4" s="9" t="n">
        <v>0.063</v>
      </c>
      <c r="L4" s="4" t="inlineStr">
        <is>
          <t>Full Payoff</t>
        </is>
      </c>
      <c r="M4" s="10" t="inlineStr">
        <is>
          <t>Removed from portfolio 01/09/2026</t>
        </is>
      </c>
    </row>
    <row r="5">
      <c r="A5" s="11" t="inlineStr">
        <is>
          <t>MSR100100</t>
        </is>
      </c>
      <c r="B5" s="11" t="inlineStr">
        <is>
          <t>FNMA</t>
        </is>
      </c>
      <c r="C5" s="11" t="inlineStr">
        <is>
          <t>Conventional</t>
        </is>
      </c>
      <c r="D5" s="12" t="n">
        <v>46049</v>
      </c>
      <c r="E5" s="13" t="n">
        <v>390000</v>
      </c>
      <c r="F5" s="14" t="n">
        <v>291530.86</v>
      </c>
      <c r="G5" s="14" t="n">
        <v>292526.74</v>
      </c>
      <c r="H5" s="14" t="n">
        <v>760.41</v>
      </c>
      <c r="I5" s="15" t="n">
        <v>235.47</v>
      </c>
      <c r="J5" s="14" t="n">
        <v>292526.74</v>
      </c>
      <c r="K5" s="16" t="n">
        <v>0.0313</v>
      </c>
      <c r="L5" s="11" t="inlineStr">
        <is>
          <t>Refinance Payoff</t>
        </is>
      </c>
      <c r="M5" s="17" t="inlineStr">
        <is>
          <t>Removed from portfolio 01/27/2026</t>
        </is>
      </c>
    </row>
    <row r="6">
      <c r="A6" s="4" t="inlineStr">
        <is>
          <t>MSR100241</t>
        </is>
      </c>
      <c r="B6" s="4" t="inlineStr">
        <is>
          <t>GNMA</t>
        </is>
      </c>
      <c r="C6" s="4" t="inlineStr">
        <is>
          <t>FHA</t>
        </is>
      </c>
      <c r="D6" s="5" t="n">
        <v>46038</v>
      </c>
      <c r="E6" s="6" t="n">
        <v>300000</v>
      </c>
      <c r="F6" s="7" t="n">
        <v>265375.94</v>
      </c>
      <c r="G6" s="7" t="n">
        <v>266391.6</v>
      </c>
      <c r="H6" s="7" t="n">
        <v>683.34</v>
      </c>
      <c r="I6" s="8" t="n">
        <v>332.32</v>
      </c>
      <c r="J6" s="7" t="n">
        <v>266391.6</v>
      </c>
      <c r="K6" s="9" t="n">
        <v>0.0309</v>
      </c>
      <c r="L6" s="4" t="inlineStr">
        <is>
          <t>Refinance Payoff</t>
        </is>
      </c>
      <c r="M6" s="10" t="inlineStr">
        <is>
          <t>Removed from portfolio 01/16/2026</t>
        </is>
      </c>
    </row>
    <row r="7">
      <c r="A7" s="11" t="inlineStr">
        <is>
          <t>MSR100250</t>
        </is>
      </c>
      <c r="B7" s="11" t="inlineStr">
        <is>
          <t>FNMA</t>
        </is>
      </c>
      <c r="C7" s="11" t="inlineStr">
        <is>
          <t>FHA</t>
        </is>
      </c>
      <c r="D7" s="12" t="n">
        <v>46032</v>
      </c>
      <c r="E7" s="13" t="n">
        <v>305000</v>
      </c>
      <c r="F7" s="14" t="n">
        <v>106147.08</v>
      </c>
      <c r="G7" s="14" t="n">
        <v>106570.37</v>
      </c>
      <c r="H7" s="14" t="n">
        <v>397.17</v>
      </c>
      <c r="I7" s="15" t="n">
        <v>26.12</v>
      </c>
      <c r="J7" s="14" t="n">
        <v>106570.37</v>
      </c>
      <c r="K7" s="16" t="n">
        <v>0.0449</v>
      </c>
      <c r="L7" s="11" t="inlineStr">
        <is>
          <t>Refinance Payoff</t>
        </is>
      </c>
      <c r="M7" s="17" t="inlineStr">
        <is>
          <t>Removed from portfolio 01/10/2026</t>
        </is>
      </c>
    </row>
    <row r="8">
      <c r="A8" s="4" t="inlineStr">
        <is>
          <t>MSR100252</t>
        </is>
      </c>
      <c r="B8" s="4" t="inlineStr">
        <is>
          <t>FNMA</t>
        </is>
      </c>
      <c r="C8" s="4" t="inlineStr">
        <is>
          <t>Conventional</t>
        </is>
      </c>
      <c r="D8" s="5" t="n">
        <v>46050</v>
      </c>
      <c r="E8" s="6" t="n">
        <v>470000</v>
      </c>
      <c r="F8" s="7" t="n">
        <v>365421</v>
      </c>
      <c r="G8" s="7" t="n">
        <v>366849.04</v>
      </c>
      <c r="H8" s="7" t="n">
        <v>1367.28</v>
      </c>
      <c r="I8" s="8" t="n">
        <v>60.76</v>
      </c>
      <c r="J8" s="7" t="n">
        <v>366849.04</v>
      </c>
      <c r="K8" s="9" t="n">
        <v>0.0449</v>
      </c>
      <c r="L8" s="4" t="inlineStr">
        <is>
          <t>Refinance Payoff</t>
        </is>
      </c>
      <c r="M8" s="10" t="inlineStr">
        <is>
          <t>Removed from portfolio 01/28/2026</t>
        </is>
      </c>
    </row>
    <row r="9">
      <c r="A9" s="11" t="inlineStr">
        <is>
          <t>MSR100253</t>
        </is>
      </c>
      <c r="B9" s="11" t="inlineStr">
        <is>
          <t>FHLMC</t>
        </is>
      </c>
      <c r="C9" s="11" t="inlineStr">
        <is>
          <t>VA</t>
        </is>
      </c>
      <c r="D9" s="12" t="n">
        <v>46036</v>
      </c>
      <c r="E9" s="13" t="n">
        <v>355000</v>
      </c>
      <c r="F9" s="14" t="n">
        <v>304042.36</v>
      </c>
      <c r="G9" s="14" t="n">
        <v>305430.66</v>
      </c>
      <c r="H9" s="14" t="n">
        <v>1195.9</v>
      </c>
      <c r="I9" s="15" t="n">
        <v>192.4</v>
      </c>
      <c r="J9" s="14" t="n">
        <v>305430.66</v>
      </c>
      <c r="K9" s="16" t="n">
        <v>0.0472</v>
      </c>
      <c r="L9" s="11" t="inlineStr">
        <is>
          <t>Refinance Payoff</t>
        </is>
      </c>
      <c r="M9" s="17" t="inlineStr">
        <is>
          <t>Removed from portfolio 01/14/2026</t>
        </is>
      </c>
    </row>
    <row r="10">
      <c r="A10" s="4" t="inlineStr">
        <is>
          <t>MSR100264</t>
        </is>
      </c>
      <c r="B10" s="4" t="inlineStr">
        <is>
          <t>GNMA</t>
        </is>
      </c>
      <c r="C10" s="4" t="inlineStr">
        <is>
          <t>USDA</t>
        </is>
      </c>
      <c r="D10" s="5" t="n">
        <v>46043</v>
      </c>
      <c r="E10" s="6" t="n">
        <v>545000</v>
      </c>
      <c r="F10" s="7" t="n">
        <v>502226.21</v>
      </c>
      <c r="G10" s="7" t="n">
        <v>505073.62</v>
      </c>
      <c r="H10" s="7" t="n">
        <v>2599.02</v>
      </c>
      <c r="I10" s="8" t="n">
        <v>248.39</v>
      </c>
      <c r="J10" s="7" t="n">
        <v>505073.62</v>
      </c>
      <c r="K10" s="9" t="n">
        <v>0.0621</v>
      </c>
      <c r="L10" s="4" t="inlineStr">
        <is>
          <t>Refinance Payoff</t>
        </is>
      </c>
      <c r="M10" s="10" t="inlineStr">
        <is>
          <t>Removed from portfolio 01/21/2026</t>
        </is>
      </c>
    </row>
    <row r="11">
      <c r="A11" s="11" t="inlineStr">
        <is>
          <t>MSR100625</t>
        </is>
      </c>
      <c r="B11" s="11" t="inlineStr">
        <is>
          <t>FNMA</t>
        </is>
      </c>
      <c r="C11" s="11" t="inlineStr">
        <is>
          <t>Conventional</t>
        </is>
      </c>
      <c r="D11" s="12" t="n">
        <v>46040</v>
      </c>
      <c r="E11" s="13" t="n">
        <v>515000</v>
      </c>
      <c r="F11" s="14" t="n">
        <v>450060.9</v>
      </c>
      <c r="G11" s="14" t="n">
        <v>451942.7</v>
      </c>
      <c r="H11" s="14" t="n">
        <v>1796.49</v>
      </c>
      <c r="I11" s="15" t="n">
        <v>85.31</v>
      </c>
      <c r="J11" s="14" t="n">
        <v>451942.7</v>
      </c>
      <c r="K11" s="16" t="n">
        <v>0.0479</v>
      </c>
      <c r="L11" s="11" t="inlineStr">
        <is>
          <t>Refinance Payoff</t>
        </is>
      </c>
      <c r="M11" s="17" t="inlineStr">
        <is>
          <t>Removed from portfolio 01/18/2026</t>
        </is>
      </c>
    </row>
    <row r="12">
      <c r="A12" s="4" t="inlineStr">
        <is>
          <t>MSR100709</t>
        </is>
      </c>
      <c r="B12" s="4" t="inlineStr">
        <is>
          <t>FNMA</t>
        </is>
      </c>
      <c r="C12" s="4" t="inlineStr">
        <is>
          <t>FHA</t>
        </is>
      </c>
      <c r="D12" s="5" t="n">
        <v>46031</v>
      </c>
      <c r="E12" s="6" t="n">
        <v>390000</v>
      </c>
      <c r="F12" s="7" t="n">
        <v>311889.86</v>
      </c>
      <c r="G12" s="7" t="n">
        <v>313016.71</v>
      </c>
      <c r="H12" s="7" t="n">
        <v>836.9</v>
      </c>
      <c r="I12" s="8" t="n">
        <v>289.95</v>
      </c>
      <c r="J12" s="7" t="n">
        <v>313016.71</v>
      </c>
      <c r="K12" s="9" t="n">
        <v>0.0322</v>
      </c>
      <c r="L12" s="4" t="inlineStr">
        <is>
          <t>Full Payoff</t>
        </is>
      </c>
      <c r="M12" s="10" t="inlineStr">
        <is>
          <t>Removed from portfolio 01/09/2026</t>
        </is>
      </c>
    </row>
    <row r="13">
      <c r="A13" s="11" t="inlineStr">
        <is>
          <t>MSR100911</t>
        </is>
      </c>
      <c r="B13" s="11" t="inlineStr">
        <is>
          <t>FNMA</t>
        </is>
      </c>
      <c r="C13" s="11" t="inlineStr">
        <is>
          <t>FHA</t>
        </is>
      </c>
      <c r="D13" s="12" t="n">
        <v>46037</v>
      </c>
      <c r="E13" s="13" t="n">
        <v>250000</v>
      </c>
      <c r="F13" s="14" t="n">
        <v>212771.66</v>
      </c>
      <c r="G13" s="14" t="n">
        <v>213785.31</v>
      </c>
      <c r="H13" s="14" t="n">
        <v>790.8</v>
      </c>
      <c r="I13" s="15" t="n">
        <v>222.85</v>
      </c>
      <c r="J13" s="14" t="n">
        <v>213785.31</v>
      </c>
      <c r="K13" s="16" t="n">
        <v>0.0446</v>
      </c>
      <c r="L13" s="11" t="inlineStr">
        <is>
          <t>Full Payoff</t>
        </is>
      </c>
      <c r="M13" s="17" t="inlineStr">
        <is>
          <t>Removed from portfolio 01/15/2026</t>
        </is>
      </c>
    </row>
    <row r="14">
      <c r="A14" s="4" t="inlineStr">
        <is>
          <t>MSR100913</t>
        </is>
      </c>
      <c r="B14" s="4" t="inlineStr">
        <is>
          <t>FHLMC</t>
        </is>
      </c>
      <c r="C14" s="4" t="inlineStr">
        <is>
          <t>Conventional</t>
        </is>
      </c>
      <c r="D14" s="5" t="n">
        <v>46033</v>
      </c>
      <c r="E14" s="6" t="n">
        <v>425000</v>
      </c>
      <c r="F14" s="7" t="n">
        <v>374742.05</v>
      </c>
      <c r="G14" s="7" t="n">
        <v>375838.44</v>
      </c>
      <c r="H14" s="7" t="n">
        <v>949.35</v>
      </c>
      <c r="I14" s="8" t="n">
        <v>147.04</v>
      </c>
      <c r="J14" s="7" t="n">
        <v>375838.44</v>
      </c>
      <c r="K14" s="9" t="n">
        <v>0.0304</v>
      </c>
      <c r="L14" s="4" t="inlineStr">
        <is>
          <t>Sale Payoff</t>
        </is>
      </c>
      <c r="M14" s="10" t="inlineStr">
        <is>
          <t>Removed from portfolio 01/11/2026</t>
        </is>
      </c>
    </row>
    <row r="15">
      <c r="A15" s="11" t="inlineStr">
        <is>
          <t>MSR100952</t>
        </is>
      </c>
      <c r="B15" s="11" t="inlineStr">
        <is>
          <t>FHLMC</t>
        </is>
      </c>
      <c r="C15" s="11" t="inlineStr">
        <is>
          <t>FHA</t>
        </is>
      </c>
      <c r="D15" s="12" t="n">
        <v>46052</v>
      </c>
      <c r="E15" s="13" t="n">
        <v>335000</v>
      </c>
      <c r="F15" s="14" t="n">
        <v>233578.42</v>
      </c>
      <c r="G15" s="14" t="n">
        <v>234850.72</v>
      </c>
      <c r="H15" s="14" t="n">
        <v>924.58</v>
      </c>
      <c r="I15" s="15" t="n">
        <v>347.72</v>
      </c>
      <c r="J15" s="14" t="n">
        <v>234850.72</v>
      </c>
      <c r="K15" s="16" t="n">
        <v>0.0475</v>
      </c>
      <c r="L15" s="11" t="inlineStr">
        <is>
          <t>Full Payoff</t>
        </is>
      </c>
      <c r="M15" s="17" t="inlineStr">
        <is>
          <t>Removed from portfolio 01/30/2026</t>
        </is>
      </c>
    </row>
    <row r="16">
      <c r="A16" s="18" t="inlineStr">
        <is>
          <t>TOTALS</t>
        </is>
      </c>
      <c r="B16" s="19" t="n"/>
      <c r="C16" s="19" t="n"/>
      <c r="D16" s="19" t="n"/>
      <c r="E16" s="20">
        <f>SUM(E4:E15)</f>
        <v/>
      </c>
      <c r="F16" s="20">
        <f>SUM(F4:F15)</f>
        <v/>
      </c>
      <c r="G16" s="20">
        <f>SUM(G4:G15)</f>
        <v/>
      </c>
      <c r="H16" s="20">
        <f>SUM(H4:H15)</f>
        <v/>
      </c>
      <c r="I16" s="20">
        <f>SUM(I4:I15)</f>
        <v/>
      </c>
      <c r="J16" s="20">
        <f>SUM(J4:J15)</f>
        <v/>
      </c>
      <c r="K16" s="19" t="n"/>
      <c r="L16" s="19" t="n"/>
      <c r="M16" s="19" t="n"/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2026-02-22T04:17:59Z</dcterms:created>
  <dcterms:modified xmlns:dcterms="http://purl.org/dc/terms/" xmlns:xsi="http://www.w3.org/2001/XMLSchema-instance" xsi:type="dcterms:W3CDTF">2026-02-22T04:17:59Z</dcterms:modified>
</cp:coreProperties>
</file>