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in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6" customWidth="1" min="10" max="10"/>
    <col width="11" customWidth="1" min="11" max="11"/>
    <col width="18" customWidth="1" min="12" max="12"/>
    <col width="28" customWidth="1" min="13" max="13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6" customHeight="1">
      <c r="A2" s="2" t="inlineStr">
        <is>
          <t>RECONCILIATION — PAID IN FULL  |  January 2026  |  12 Loans</t>
        </is>
      </c>
    </row>
    <row r="3" ht="28" customHeight="1">
      <c r="A3" s="3" t="inlineStr">
        <is>
          <t>Loan ID</t>
        </is>
      </c>
      <c r="B3" s="3" t="inlineStr">
        <is>
          <t>Investor</t>
        </is>
      </c>
      <c r="C3" s="3" t="inlineStr">
        <is>
          <t>Loan Type</t>
        </is>
      </c>
      <c r="D3" s="3" t="inlineStr">
        <is>
          <t>Payoff Date</t>
        </is>
      </c>
      <c r="E3" s="3" t="inlineStr">
        <is>
          <t>Orig Balance ($)</t>
        </is>
      </c>
      <c r="F3" s="3" t="inlineStr">
        <is>
          <t>Final UPB ($)</t>
        </is>
      </c>
      <c r="G3" s="3" t="inlineStr">
        <is>
          <t>Payoff Amount ($)</t>
        </is>
      </c>
      <c r="H3" s="3" t="inlineStr">
        <is>
          <t>Interest Due ($)</t>
        </is>
      </c>
      <c r="I3" s="3" t="inlineStr">
        <is>
          <t>Fees / Penalties ($)</t>
        </is>
      </c>
      <c r="J3" s="3" t="inlineStr">
        <is>
          <t>Net Proceeds ($)</t>
        </is>
      </c>
      <c r="K3" s="3" t="inlineStr">
        <is>
          <t>Rate</t>
        </is>
      </c>
      <c r="L3" s="3" t="inlineStr">
        <is>
          <t>Payoff Reason</t>
        </is>
      </c>
      <c r="M3" s="3" t="inlineStr">
        <is>
          <t>Notes</t>
        </is>
      </c>
    </row>
    <row r="4">
      <c r="A4" s="4" t="inlineStr">
        <is>
          <t>MSR100177</t>
        </is>
      </c>
      <c r="B4" s="4" t="inlineStr">
        <is>
          <t>GNMA</t>
        </is>
      </c>
      <c r="C4" s="4" t="inlineStr">
        <is>
          <t>Conventional</t>
        </is>
      </c>
      <c r="D4" s="5" t="n">
        <v>46044</v>
      </c>
      <c r="E4" s="6" t="n">
        <v>455000</v>
      </c>
      <c r="F4" s="7" t="n">
        <v>354112.98</v>
      </c>
      <c r="G4" s="7" t="n">
        <v>355630.32</v>
      </c>
      <c r="H4" s="7" t="n">
        <v>1310.22</v>
      </c>
      <c r="I4" s="8" t="n">
        <v>207.12</v>
      </c>
      <c r="J4" s="7" t="n">
        <v>355630.32</v>
      </c>
      <c r="K4" s="9" t="n">
        <v>0.0444</v>
      </c>
      <c r="L4" s="4" t="inlineStr">
        <is>
          <t>Refinance Payoff</t>
        </is>
      </c>
      <c r="M4" s="10" t="inlineStr">
        <is>
          <t>Removed from portfolio 01/22/2026</t>
        </is>
      </c>
    </row>
    <row r="5">
      <c r="A5" s="11" t="inlineStr">
        <is>
          <t>MSR100362</t>
        </is>
      </c>
      <c r="B5" s="11" t="inlineStr">
        <is>
          <t>FHLMC</t>
        </is>
      </c>
      <c r="C5" s="11" t="inlineStr">
        <is>
          <t>Conventional</t>
        </is>
      </c>
      <c r="D5" s="12" t="n">
        <v>46049</v>
      </c>
      <c r="E5" s="13" t="n">
        <v>355000</v>
      </c>
      <c r="F5" s="14" t="n">
        <v>280243.73</v>
      </c>
      <c r="G5" s="14" t="n">
        <v>281569.18</v>
      </c>
      <c r="H5" s="14" t="n">
        <v>985.52</v>
      </c>
      <c r="I5" s="15" t="n">
        <v>339.93</v>
      </c>
      <c r="J5" s="14" t="n">
        <v>281569.18</v>
      </c>
      <c r="K5" s="16" t="n">
        <v>0.0422</v>
      </c>
      <c r="L5" s="11" t="inlineStr">
        <is>
          <t>Sale Payoff</t>
        </is>
      </c>
      <c r="M5" s="17" t="inlineStr">
        <is>
          <t>Removed from portfolio 01/27/2026</t>
        </is>
      </c>
    </row>
    <row r="6">
      <c r="A6" s="4" t="inlineStr">
        <is>
          <t>MSR100426</t>
        </is>
      </c>
      <c r="B6" s="4" t="inlineStr">
        <is>
          <t>GNMA</t>
        </is>
      </c>
      <c r="C6" s="4" t="inlineStr">
        <is>
          <t>Conventional</t>
        </is>
      </c>
      <c r="D6" s="5" t="n">
        <v>46030</v>
      </c>
      <c r="E6" s="6" t="n">
        <v>245000</v>
      </c>
      <c r="F6" s="7" t="n">
        <v>159074.22</v>
      </c>
      <c r="G6" s="7" t="n">
        <v>159731.61</v>
      </c>
      <c r="H6" s="7" t="n">
        <v>570.02</v>
      </c>
      <c r="I6" s="8" t="n">
        <v>87.37</v>
      </c>
      <c r="J6" s="7" t="n">
        <v>159731.61</v>
      </c>
      <c r="K6" s="9" t="n">
        <v>0.043</v>
      </c>
      <c r="L6" s="4" t="inlineStr">
        <is>
          <t>Refinance Payoff</t>
        </is>
      </c>
      <c r="M6" s="10" t="inlineStr">
        <is>
          <t>Removed from portfolio 01/08/2026</t>
        </is>
      </c>
    </row>
    <row r="7">
      <c r="A7" s="11" t="inlineStr">
        <is>
          <t>MSR100431</t>
        </is>
      </c>
      <c r="B7" s="11" t="inlineStr">
        <is>
          <t>FHLMC</t>
        </is>
      </c>
      <c r="C7" s="11" t="inlineStr">
        <is>
          <t>VA</t>
        </is>
      </c>
      <c r="D7" s="12" t="n">
        <v>46026</v>
      </c>
      <c r="E7" s="13" t="n">
        <v>350000</v>
      </c>
      <c r="F7" s="14" t="n">
        <v>343336.38</v>
      </c>
      <c r="G7" s="14" t="n">
        <v>345410.4</v>
      </c>
      <c r="H7" s="14" t="n">
        <v>1776.77</v>
      </c>
      <c r="I7" s="15" t="n">
        <v>297.25</v>
      </c>
      <c r="J7" s="14" t="n">
        <v>345410.4</v>
      </c>
      <c r="K7" s="16" t="n">
        <v>0.0621</v>
      </c>
      <c r="L7" s="11" t="inlineStr">
        <is>
          <t>Refinance Payoff</t>
        </is>
      </c>
      <c r="M7" s="17" t="inlineStr">
        <is>
          <t>Removed from portfolio 01/04/2026</t>
        </is>
      </c>
    </row>
    <row r="8">
      <c r="A8" s="4" t="inlineStr">
        <is>
          <t>MSR100460</t>
        </is>
      </c>
      <c r="B8" s="4" t="inlineStr">
        <is>
          <t>FNMA</t>
        </is>
      </c>
      <c r="C8" s="4" t="inlineStr">
        <is>
          <t>FHA</t>
        </is>
      </c>
      <c r="D8" s="5" t="n">
        <v>46031</v>
      </c>
      <c r="E8" s="6" t="n">
        <v>385000</v>
      </c>
      <c r="F8" s="7" t="n">
        <v>206402.62</v>
      </c>
      <c r="G8" s="7" t="n">
        <v>207161.71</v>
      </c>
      <c r="H8" s="7" t="n">
        <v>693.17</v>
      </c>
      <c r="I8" s="8" t="n">
        <v>65.92</v>
      </c>
      <c r="J8" s="7" t="n">
        <v>207161.71</v>
      </c>
      <c r="K8" s="9" t="n">
        <v>0.0403</v>
      </c>
      <c r="L8" s="4" t="inlineStr">
        <is>
          <t>Sale Payoff</t>
        </is>
      </c>
      <c r="M8" s="10" t="inlineStr">
        <is>
          <t>Removed from portfolio 01/09/2026</t>
        </is>
      </c>
    </row>
    <row r="9">
      <c r="A9" s="11" t="inlineStr">
        <is>
          <t>MSR100589</t>
        </is>
      </c>
      <c r="B9" s="11" t="inlineStr">
        <is>
          <t>FNMA</t>
        </is>
      </c>
      <c r="C9" s="11" t="inlineStr">
        <is>
          <t>Conventional</t>
        </is>
      </c>
      <c r="D9" s="12" t="n">
        <v>46026</v>
      </c>
      <c r="E9" s="13" t="n">
        <v>450000</v>
      </c>
      <c r="F9" s="14" t="n">
        <v>409434.6</v>
      </c>
      <c r="G9" s="14" t="n">
        <v>411998.29</v>
      </c>
      <c r="H9" s="14" t="n">
        <v>2241.65</v>
      </c>
      <c r="I9" s="15" t="n">
        <v>322.04</v>
      </c>
      <c r="J9" s="14" t="n">
        <v>411998.29</v>
      </c>
      <c r="K9" s="16" t="n">
        <v>0.06569999999999999</v>
      </c>
      <c r="L9" s="11" t="inlineStr">
        <is>
          <t>Refinance Payoff</t>
        </is>
      </c>
      <c r="M9" s="17" t="inlineStr">
        <is>
          <t>Removed from portfolio 01/04/2026</t>
        </is>
      </c>
    </row>
    <row r="10">
      <c r="A10" s="4" t="inlineStr">
        <is>
          <t>MSR100602</t>
        </is>
      </c>
      <c r="B10" s="4" t="inlineStr">
        <is>
          <t>FNMA</t>
        </is>
      </c>
      <c r="C10" s="4" t="inlineStr">
        <is>
          <t>FHA</t>
        </is>
      </c>
      <c r="D10" s="5" t="n">
        <v>46034</v>
      </c>
      <c r="E10" s="6" t="n">
        <v>300000</v>
      </c>
      <c r="F10" s="7" t="n">
        <v>269275.76</v>
      </c>
      <c r="G10" s="7" t="n">
        <v>270123.63</v>
      </c>
      <c r="H10" s="7" t="n">
        <v>794.36</v>
      </c>
      <c r="I10" s="8" t="n">
        <v>53.51</v>
      </c>
      <c r="J10" s="7" t="n">
        <v>270123.63</v>
      </c>
      <c r="K10" s="9" t="n">
        <v>0.0354</v>
      </c>
      <c r="L10" s="4" t="inlineStr">
        <is>
          <t>Refinance Payoff</t>
        </is>
      </c>
      <c r="M10" s="10" t="inlineStr">
        <is>
          <t>Removed from portfolio 01/12/2026</t>
        </is>
      </c>
    </row>
    <row r="11">
      <c r="A11" s="11" t="inlineStr">
        <is>
          <t>MSR100652</t>
        </is>
      </c>
      <c r="B11" s="11" t="inlineStr">
        <is>
          <t>FNMA</t>
        </is>
      </c>
      <c r="C11" s="11" t="inlineStr">
        <is>
          <t>FHA</t>
        </is>
      </c>
      <c r="D11" s="12" t="n">
        <v>46030</v>
      </c>
      <c r="E11" s="13" t="n">
        <v>425000</v>
      </c>
      <c r="F11" s="14" t="n">
        <v>353496.62</v>
      </c>
      <c r="G11" s="14" t="n">
        <v>354557.26</v>
      </c>
      <c r="H11" s="14" t="n">
        <v>827.77</v>
      </c>
      <c r="I11" s="15" t="n">
        <v>232.87</v>
      </c>
      <c r="J11" s="14" t="n">
        <v>354557.26</v>
      </c>
      <c r="K11" s="16" t="n">
        <v>0.0281</v>
      </c>
      <c r="L11" s="11" t="inlineStr">
        <is>
          <t>Refinance Payoff</t>
        </is>
      </c>
      <c r="M11" s="17" t="inlineStr">
        <is>
          <t>Removed from portfolio 01/08/2026</t>
        </is>
      </c>
    </row>
    <row r="12">
      <c r="A12" s="4" t="inlineStr">
        <is>
          <t>MSR100682</t>
        </is>
      </c>
      <c r="B12" s="4" t="inlineStr">
        <is>
          <t>FNMA</t>
        </is>
      </c>
      <c r="C12" s="4" t="inlineStr">
        <is>
          <t>Conventional</t>
        </is>
      </c>
      <c r="D12" s="5" t="n">
        <v>46037</v>
      </c>
      <c r="E12" s="6" t="n">
        <v>340000</v>
      </c>
      <c r="F12" s="7" t="n">
        <v>303256.38</v>
      </c>
      <c r="G12" s="7" t="n">
        <v>304214.37</v>
      </c>
      <c r="H12" s="7" t="n">
        <v>740.45</v>
      </c>
      <c r="I12" s="8" t="n">
        <v>217.54</v>
      </c>
      <c r="J12" s="7" t="n">
        <v>304214.37</v>
      </c>
      <c r="K12" s="9" t="n">
        <v>0.0293</v>
      </c>
      <c r="L12" s="4" t="inlineStr">
        <is>
          <t>Refinance Payoff</t>
        </is>
      </c>
      <c r="M12" s="10" t="inlineStr">
        <is>
          <t>Removed from portfolio 01/15/2026</t>
        </is>
      </c>
    </row>
    <row r="13">
      <c r="A13" s="11" t="inlineStr">
        <is>
          <t>MSR100772</t>
        </is>
      </c>
      <c r="B13" s="11" t="inlineStr">
        <is>
          <t>GNMA</t>
        </is>
      </c>
      <c r="C13" s="11" t="inlineStr">
        <is>
          <t>FHA</t>
        </is>
      </c>
      <c r="D13" s="12" t="n">
        <v>46028</v>
      </c>
      <c r="E13" s="13" t="n">
        <v>335000</v>
      </c>
      <c r="F13" s="14" t="n">
        <v>284180.51</v>
      </c>
      <c r="G13" s="14" t="n">
        <v>285257.93</v>
      </c>
      <c r="H13" s="14" t="n">
        <v>781.5</v>
      </c>
      <c r="I13" s="15" t="n">
        <v>295.92</v>
      </c>
      <c r="J13" s="14" t="n">
        <v>285257.93</v>
      </c>
      <c r="K13" s="16" t="n">
        <v>0.033</v>
      </c>
      <c r="L13" s="11" t="inlineStr">
        <is>
          <t>Full Payoff</t>
        </is>
      </c>
      <c r="M13" s="17" t="inlineStr">
        <is>
          <t>Removed from portfolio 01/06/2026</t>
        </is>
      </c>
    </row>
    <row r="14">
      <c r="A14" s="4" t="inlineStr">
        <is>
          <t>MSR100783</t>
        </is>
      </c>
      <c r="B14" s="4" t="inlineStr">
        <is>
          <t>FNMA</t>
        </is>
      </c>
      <c r="C14" s="4" t="inlineStr">
        <is>
          <t>FHA</t>
        </is>
      </c>
      <c r="D14" s="5" t="n">
        <v>46042</v>
      </c>
      <c r="E14" s="6" t="n">
        <v>425000</v>
      </c>
      <c r="F14" s="7" t="n">
        <v>341272.57</v>
      </c>
      <c r="G14" s="7" t="n">
        <v>342419.56</v>
      </c>
      <c r="H14" s="7" t="n">
        <v>1046.57</v>
      </c>
      <c r="I14" s="8" t="n">
        <v>100.42</v>
      </c>
      <c r="J14" s="7" t="n">
        <v>342419.56</v>
      </c>
      <c r="K14" s="9" t="n">
        <v>0.0368</v>
      </c>
      <c r="L14" s="4" t="inlineStr">
        <is>
          <t>Full Payoff</t>
        </is>
      </c>
      <c r="M14" s="10" t="inlineStr">
        <is>
          <t>Removed from portfolio 01/20/2026</t>
        </is>
      </c>
    </row>
    <row r="15">
      <c r="A15" s="11" t="inlineStr">
        <is>
          <t>MSR100963</t>
        </is>
      </c>
      <c r="B15" s="11" t="inlineStr">
        <is>
          <t>FNMA</t>
        </is>
      </c>
      <c r="C15" s="11" t="inlineStr">
        <is>
          <t>Conventional</t>
        </is>
      </c>
      <c r="D15" s="12" t="n">
        <v>46048</v>
      </c>
      <c r="E15" s="13" t="n">
        <v>465000</v>
      </c>
      <c r="F15" s="14" t="n">
        <v>442918.84</v>
      </c>
      <c r="G15" s="14" t="n">
        <v>445365.94</v>
      </c>
      <c r="H15" s="14" t="n">
        <v>2432.36</v>
      </c>
      <c r="I15" s="15" t="n">
        <v>14.74</v>
      </c>
      <c r="J15" s="14" t="n">
        <v>445365.94</v>
      </c>
      <c r="K15" s="16" t="n">
        <v>0.0659</v>
      </c>
      <c r="L15" s="11" t="inlineStr">
        <is>
          <t>Refinance Payoff</t>
        </is>
      </c>
      <c r="M15" s="17" t="inlineStr">
        <is>
          <t>Removed from portfolio 01/26/2026</t>
        </is>
      </c>
    </row>
    <row r="16">
      <c r="A16" s="18" t="inlineStr">
        <is>
          <t>TOTALS</t>
        </is>
      </c>
      <c r="B16" s="19" t="n"/>
      <c r="C16" s="19" t="n"/>
      <c r="D16" s="19" t="n"/>
      <c r="E16" s="20">
        <f>SUM(E4:E15)</f>
        <v/>
      </c>
      <c r="F16" s="20">
        <f>SUM(F4:F15)</f>
        <v/>
      </c>
      <c r="G16" s="20">
        <f>SUM(G4:G15)</f>
        <v/>
      </c>
      <c r="H16" s="20">
        <f>SUM(H4:H15)</f>
        <v/>
      </c>
      <c r="I16" s="20">
        <f>SUM(I4:I15)</f>
        <v/>
      </c>
      <c r="J16" s="20">
        <f>SUM(J4:J15)</f>
        <v/>
      </c>
      <c r="K16" s="19" t="n"/>
      <c r="L16" s="19" t="n"/>
      <c r="M16" s="19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2026-02-22T00:42:53Z</dcterms:created>
  <dcterms:modified xmlns:dcterms="http://purl.org/dc/terms/" xmlns:xsi="http://www.w3.org/2001/XMLSchema-instance" xsi:type="dcterms:W3CDTF">2026-02-22T00:42:53Z</dcterms:modified>
</cp:coreProperties>
</file>