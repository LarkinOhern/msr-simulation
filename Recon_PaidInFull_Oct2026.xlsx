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Oct 2026  |  54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MSR200028</t>
        </is>
      </c>
      <c r="B4" s="4" t="inlineStr">
        <is>
          <t>FNMA</t>
        </is>
      </c>
      <c r="C4" s="4" t="inlineStr">
        <is>
          <t>Conventional</t>
        </is>
      </c>
      <c r="D4" s="5" t="n">
        <v>46302</v>
      </c>
      <c r="E4" s="6" t="n">
        <v>450000</v>
      </c>
      <c r="F4" s="7" t="n">
        <v>445582.49</v>
      </c>
      <c r="G4" s="7" t="n">
        <v>448166.29</v>
      </c>
      <c r="H4" s="7" t="n">
        <v>2491.55</v>
      </c>
      <c r="I4" s="8" t="n">
        <v>92.25</v>
      </c>
      <c r="J4" s="9" t="n">
        <v>0.06710000000000001</v>
      </c>
      <c r="K4" s="4" t="inlineStr">
        <is>
          <t>Refinance Payoff</t>
        </is>
      </c>
      <c r="L4" s="10" t="inlineStr">
        <is>
          <t>Removed from portfolio 10/07/2026</t>
        </is>
      </c>
    </row>
    <row r="5">
      <c r="A5" s="11" t="inlineStr">
        <is>
          <t>MSR204072</t>
        </is>
      </c>
      <c r="B5" s="11" t="inlineStr">
        <is>
          <t>GNMA</t>
        </is>
      </c>
      <c r="C5" s="11" t="inlineStr">
        <is>
          <t>FHA</t>
        </is>
      </c>
      <c r="D5" s="12" t="n">
        <v>46308</v>
      </c>
      <c r="E5" s="13" t="n">
        <v>410000</v>
      </c>
      <c r="F5" s="14" t="n">
        <v>407212.8</v>
      </c>
      <c r="G5" s="14" t="n">
        <v>409634.05</v>
      </c>
      <c r="H5" s="14" t="n">
        <v>2107.33</v>
      </c>
      <c r="I5" s="15" t="n">
        <v>313.92</v>
      </c>
      <c r="J5" s="16" t="n">
        <v>0.0621</v>
      </c>
      <c r="K5" s="11" t="inlineStr">
        <is>
          <t>Refinance Payoff</t>
        </is>
      </c>
      <c r="L5" s="17" t="inlineStr">
        <is>
          <t>Removed from portfolio 10/13/2026</t>
        </is>
      </c>
    </row>
    <row r="6">
      <c r="A6" s="4" t="inlineStr">
        <is>
          <t>MSR207155</t>
        </is>
      </c>
      <c r="B6" s="4" t="inlineStr">
        <is>
          <t>FNMA</t>
        </is>
      </c>
      <c r="C6" s="4" t="inlineStr">
        <is>
          <t>FHA</t>
        </is>
      </c>
      <c r="D6" s="5" t="n">
        <v>46321</v>
      </c>
      <c r="E6" s="6" t="n">
        <v>620000</v>
      </c>
      <c r="F6" s="7" t="n">
        <v>616113.52</v>
      </c>
      <c r="G6" s="7" t="n">
        <v>619411.27</v>
      </c>
      <c r="H6" s="7" t="n">
        <v>3255.13</v>
      </c>
      <c r="I6" s="8" t="n">
        <v>42.62</v>
      </c>
      <c r="J6" s="9" t="n">
        <v>0.0634</v>
      </c>
      <c r="K6" s="4" t="inlineStr">
        <is>
          <t>Refinance Payoff</t>
        </is>
      </c>
      <c r="L6" s="10" t="inlineStr">
        <is>
          <t>Removed from portfolio 10/26/2026</t>
        </is>
      </c>
    </row>
    <row r="7">
      <c r="A7" s="11" t="inlineStr">
        <is>
          <t>MSR204018</t>
        </is>
      </c>
      <c r="B7" s="11" t="inlineStr">
        <is>
          <t>GNMA</t>
        </is>
      </c>
      <c r="C7" s="11" t="inlineStr">
        <is>
          <t>Conventional</t>
        </is>
      </c>
      <c r="D7" s="12" t="n">
        <v>46303</v>
      </c>
      <c r="E7" s="13" t="n">
        <v>310000</v>
      </c>
      <c r="F7" s="14" t="n">
        <v>307589.85</v>
      </c>
      <c r="G7" s="14" t="n">
        <v>309382.89</v>
      </c>
      <c r="H7" s="14" t="n">
        <v>1594.34</v>
      </c>
      <c r="I7" s="15" t="n">
        <v>198.7</v>
      </c>
      <c r="J7" s="16" t="n">
        <v>0.0622</v>
      </c>
      <c r="K7" s="11" t="inlineStr">
        <is>
          <t>Full Payoff</t>
        </is>
      </c>
      <c r="L7" s="17" t="inlineStr">
        <is>
          <t>Removed from portfolio 10/08/2026</t>
        </is>
      </c>
    </row>
    <row r="8">
      <c r="A8" s="4" t="inlineStr">
        <is>
          <t>MSR205171</t>
        </is>
      </c>
      <c r="B8" s="4" t="inlineStr">
        <is>
          <t>GNMA</t>
        </is>
      </c>
      <c r="C8" s="4" t="inlineStr">
        <is>
          <t>Conventional</t>
        </is>
      </c>
      <c r="D8" s="5" t="n">
        <v>46310</v>
      </c>
      <c r="E8" s="6" t="n">
        <v>570000</v>
      </c>
      <c r="F8" s="7" t="n">
        <v>566248.63</v>
      </c>
      <c r="G8" s="7" t="n">
        <v>569372.66</v>
      </c>
      <c r="H8" s="7" t="n">
        <v>3010.56</v>
      </c>
      <c r="I8" s="8" t="n">
        <v>113.47</v>
      </c>
      <c r="J8" s="9" t="n">
        <v>0.0638</v>
      </c>
      <c r="K8" s="4" t="inlineStr">
        <is>
          <t>Full Payoff</t>
        </is>
      </c>
      <c r="L8" s="10" t="inlineStr">
        <is>
          <t>Removed from portfolio 10/15/2026</t>
        </is>
      </c>
    </row>
    <row r="9">
      <c r="A9" s="11" t="inlineStr">
        <is>
          <t>MSR208186</t>
        </is>
      </c>
      <c r="B9" s="11" t="inlineStr">
        <is>
          <t>GNMA</t>
        </is>
      </c>
      <c r="C9" s="11" t="inlineStr">
        <is>
          <t>FHA</t>
        </is>
      </c>
      <c r="D9" s="12" t="n">
        <v>46313</v>
      </c>
      <c r="E9" s="13" t="n">
        <v>425000</v>
      </c>
      <c r="F9" s="14" t="n">
        <v>423405.23</v>
      </c>
      <c r="G9" s="14" t="n">
        <v>425831.55</v>
      </c>
      <c r="H9" s="14" t="n">
        <v>2240.52</v>
      </c>
      <c r="I9" s="15" t="n">
        <v>185.8</v>
      </c>
      <c r="J9" s="16" t="n">
        <v>0.0635</v>
      </c>
      <c r="K9" s="11" t="inlineStr">
        <is>
          <t>Estate Payoff</t>
        </is>
      </c>
      <c r="L9" s="17" t="inlineStr">
        <is>
          <t>Removed from portfolio 10/18/2026</t>
        </is>
      </c>
    </row>
    <row r="10">
      <c r="A10" s="4" t="inlineStr">
        <is>
          <t>MSR205202</t>
        </is>
      </c>
      <c r="B10" s="4" t="inlineStr">
        <is>
          <t>FNMA</t>
        </is>
      </c>
      <c r="C10" s="4" t="inlineStr">
        <is>
          <t>Conventional</t>
        </is>
      </c>
      <c r="D10" s="5" t="n">
        <v>46311</v>
      </c>
      <c r="E10" s="6" t="n">
        <v>370000</v>
      </c>
      <c r="F10" s="7" t="n">
        <v>365302.35</v>
      </c>
      <c r="G10" s="7" t="n">
        <v>367471.13</v>
      </c>
      <c r="H10" s="7" t="n">
        <v>1917.84</v>
      </c>
      <c r="I10" s="8" t="n">
        <v>250.94</v>
      </c>
      <c r="J10" s="9" t="n">
        <v>0.063</v>
      </c>
      <c r="K10" s="4" t="inlineStr">
        <is>
          <t>Full Payoff</t>
        </is>
      </c>
      <c r="L10" s="10" t="inlineStr">
        <is>
          <t>Removed from portfolio 10/16/2026</t>
        </is>
      </c>
    </row>
    <row r="11">
      <c r="A11" s="11" t="inlineStr">
        <is>
          <t>MSR205156</t>
        </is>
      </c>
      <c r="B11" s="11" t="inlineStr">
        <is>
          <t>GNMA</t>
        </is>
      </c>
      <c r="C11" s="11" t="inlineStr">
        <is>
          <t>USDA</t>
        </is>
      </c>
      <c r="D11" s="12" t="n">
        <v>46302</v>
      </c>
      <c r="E11" s="13" t="n">
        <v>390000</v>
      </c>
      <c r="F11" s="14" t="n">
        <v>387729.07</v>
      </c>
      <c r="G11" s="14" t="n">
        <v>389895.04</v>
      </c>
      <c r="H11" s="14" t="n">
        <v>2003.27</v>
      </c>
      <c r="I11" s="15" t="n">
        <v>162.7</v>
      </c>
      <c r="J11" s="16" t="n">
        <v>0.062</v>
      </c>
      <c r="K11" s="11" t="inlineStr">
        <is>
          <t>Refinance Payoff</t>
        </is>
      </c>
      <c r="L11" s="17" t="inlineStr">
        <is>
          <t>Removed from portfolio 10/07/2026</t>
        </is>
      </c>
    </row>
    <row r="12">
      <c r="A12" s="4" t="inlineStr">
        <is>
          <t>MSR100481</t>
        </is>
      </c>
      <c r="B12" s="4" t="inlineStr">
        <is>
          <t>FNMA</t>
        </is>
      </c>
      <c r="C12" s="4" t="inlineStr">
        <is>
          <t>Conventional</t>
        </is>
      </c>
      <c r="D12" s="5" t="n">
        <v>46300</v>
      </c>
      <c r="E12" s="6" t="n">
        <v>295000</v>
      </c>
      <c r="F12" s="7" t="n">
        <v>279149.79</v>
      </c>
      <c r="G12" s="7" t="n">
        <v>280850.05</v>
      </c>
      <c r="H12" s="7" t="n">
        <v>1551.61</v>
      </c>
      <c r="I12" s="8" t="n">
        <v>148.65</v>
      </c>
      <c r="J12" s="9" t="n">
        <v>0.0667</v>
      </c>
      <c r="K12" s="4" t="inlineStr">
        <is>
          <t>Refinance Payoff</t>
        </is>
      </c>
      <c r="L12" s="10" t="inlineStr">
        <is>
          <t>Removed from portfolio 10/05/2026</t>
        </is>
      </c>
    </row>
    <row r="13">
      <c r="A13" s="11" t="inlineStr">
        <is>
          <t>MSR207178</t>
        </is>
      </c>
      <c r="B13" s="11" t="inlineStr">
        <is>
          <t>FNMA</t>
        </is>
      </c>
      <c r="C13" s="11" t="inlineStr">
        <is>
          <t>Conventional</t>
        </is>
      </c>
      <c r="D13" s="12" t="n">
        <v>46308</v>
      </c>
      <c r="E13" s="13" t="n">
        <v>435000</v>
      </c>
      <c r="F13" s="14" t="n">
        <v>433776.67</v>
      </c>
      <c r="G13" s="14" t="n">
        <v>436087.08</v>
      </c>
      <c r="H13" s="14" t="n">
        <v>2291.79</v>
      </c>
      <c r="I13" s="15" t="n">
        <v>18.62</v>
      </c>
      <c r="J13" s="16" t="n">
        <v>0.0634</v>
      </c>
      <c r="K13" s="11" t="inlineStr">
        <is>
          <t>Full Payoff</t>
        </is>
      </c>
      <c r="L13" s="17" t="inlineStr">
        <is>
          <t>Removed from portfolio 10/13/2026</t>
        </is>
      </c>
    </row>
    <row r="14">
      <c r="A14" s="4" t="inlineStr">
        <is>
          <t>MSR208167</t>
        </is>
      </c>
      <c r="B14" s="4" t="inlineStr">
        <is>
          <t>GNMA</t>
        </is>
      </c>
      <c r="C14" s="4" t="inlineStr">
        <is>
          <t>FHA</t>
        </is>
      </c>
      <c r="D14" s="5" t="n">
        <v>46307</v>
      </c>
      <c r="E14" s="6" t="n">
        <v>250000</v>
      </c>
      <c r="F14" s="7" t="n">
        <v>249520.66</v>
      </c>
      <c r="G14" s="7" t="n">
        <v>250817.39</v>
      </c>
      <c r="H14" s="7" t="n">
        <v>1291.27</v>
      </c>
      <c r="I14" s="8" t="n">
        <v>5.46</v>
      </c>
      <c r="J14" s="9" t="n">
        <v>0.0621</v>
      </c>
      <c r="K14" s="4" t="inlineStr">
        <is>
          <t>Refinance Payoff</t>
        </is>
      </c>
      <c r="L14" s="10" t="inlineStr">
        <is>
          <t>Removed from portfolio 10/12/2026</t>
        </is>
      </c>
    </row>
    <row r="15">
      <c r="A15" s="11" t="inlineStr">
        <is>
          <t>MSR205203</t>
        </is>
      </c>
      <c r="B15" s="11" t="inlineStr">
        <is>
          <t>FHLMC</t>
        </is>
      </c>
      <c r="C15" s="11" t="inlineStr">
        <is>
          <t>Conventional</t>
        </is>
      </c>
      <c r="D15" s="12" t="n">
        <v>46301</v>
      </c>
      <c r="E15" s="13" t="n">
        <v>415000</v>
      </c>
      <c r="F15" s="14" t="n">
        <v>412660.69</v>
      </c>
      <c r="G15" s="14" t="n">
        <v>415110.93</v>
      </c>
      <c r="H15" s="14" t="n">
        <v>2190.54</v>
      </c>
      <c r="I15" s="15" t="n">
        <v>259.7</v>
      </c>
      <c r="J15" s="16" t="n">
        <v>0.06370000000000001</v>
      </c>
      <c r="K15" s="11" t="inlineStr">
        <is>
          <t>Full Payoff</t>
        </is>
      </c>
      <c r="L15" s="17" t="inlineStr">
        <is>
          <t>Removed from portfolio 10/06/2026</t>
        </is>
      </c>
    </row>
    <row r="16">
      <c r="A16" s="4" t="inlineStr">
        <is>
          <t>MSR207219</t>
        </is>
      </c>
      <c r="B16" s="4" t="inlineStr">
        <is>
          <t>FHLMC</t>
        </is>
      </c>
      <c r="C16" s="4" t="inlineStr">
        <is>
          <t>Conventional</t>
        </is>
      </c>
      <c r="D16" s="5" t="n">
        <v>46319</v>
      </c>
      <c r="E16" s="6" t="n">
        <v>375000</v>
      </c>
      <c r="F16" s="7" t="n">
        <v>373202.3</v>
      </c>
      <c r="G16" s="7" t="n">
        <v>375389.31</v>
      </c>
      <c r="H16" s="7" t="n">
        <v>1943.76</v>
      </c>
      <c r="I16" s="8" t="n">
        <v>243.25</v>
      </c>
      <c r="J16" s="9" t="n">
        <v>0.0625</v>
      </c>
      <c r="K16" s="4" t="inlineStr">
        <is>
          <t>Estate Payoff</t>
        </is>
      </c>
      <c r="L16" s="10" t="inlineStr">
        <is>
          <t>Removed from portfolio 10/24/2026</t>
        </is>
      </c>
    </row>
    <row r="17">
      <c r="A17" s="11" t="inlineStr">
        <is>
          <t>MSR200144</t>
        </is>
      </c>
      <c r="B17" s="11" t="inlineStr">
        <is>
          <t>FNMA</t>
        </is>
      </c>
      <c r="C17" s="11" t="inlineStr">
        <is>
          <t>Conventional</t>
        </is>
      </c>
      <c r="D17" s="12" t="n">
        <v>46301</v>
      </c>
      <c r="E17" s="13" t="n">
        <v>440000</v>
      </c>
      <c r="F17" s="14" t="n">
        <v>436054.89</v>
      </c>
      <c r="G17" s="14" t="n">
        <v>438959.46</v>
      </c>
      <c r="H17" s="14" t="n">
        <v>2609.06</v>
      </c>
      <c r="I17" s="15" t="n">
        <v>295.51</v>
      </c>
      <c r="J17" s="16" t="n">
        <v>0.0718</v>
      </c>
      <c r="K17" s="11" t="inlineStr">
        <is>
          <t>Full Payoff</t>
        </is>
      </c>
      <c r="L17" s="17" t="inlineStr">
        <is>
          <t>Removed from portfolio 10/06/2026</t>
        </is>
      </c>
    </row>
    <row r="18">
      <c r="A18" s="4" t="inlineStr">
        <is>
          <t>MSR209032</t>
        </is>
      </c>
      <c r="B18" s="4" t="inlineStr">
        <is>
          <t>FNMA</t>
        </is>
      </c>
      <c r="C18" s="4" t="inlineStr">
        <is>
          <t>VA</t>
        </is>
      </c>
      <c r="D18" s="5" t="n">
        <v>46299</v>
      </c>
      <c r="E18" s="6" t="n">
        <v>505000</v>
      </c>
      <c r="F18" s="7" t="n">
        <v>503568.82</v>
      </c>
      <c r="G18" s="7" t="n">
        <v>506443.92</v>
      </c>
      <c r="H18" s="7" t="n">
        <v>2643.74</v>
      </c>
      <c r="I18" s="8" t="n">
        <v>231.36</v>
      </c>
      <c r="J18" s="9" t="n">
        <v>0.063</v>
      </c>
      <c r="K18" s="4" t="inlineStr">
        <is>
          <t>Full Payoff</t>
        </is>
      </c>
      <c r="L18" s="10" t="inlineStr">
        <is>
          <t>Removed from portfolio 10/04/2026</t>
        </is>
      </c>
    </row>
    <row r="19">
      <c r="A19" s="11" t="inlineStr">
        <is>
          <t>MSR200151</t>
        </is>
      </c>
      <c r="B19" s="11" t="inlineStr">
        <is>
          <t>Portfolio</t>
        </is>
      </c>
      <c r="C19" s="11" t="inlineStr">
        <is>
          <t>Conventional</t>
        </is>
      </c>
      <c r="D19" s="12" t="n">
        <v>46316</v>
      </c>
      <c r="E19" s="13" t="n">
        <v>320000</v>
      </c>
      <c r="F19" s="14" t="n">
        <v>316680.24</v>
      </c>
      <c r="G19" s="14" t="n">
        <v>318659.26</v>
      </c>
      <c r="H19" s="14" t="n">
        <v>1694.24</v>
      </c>
      <c r="I19" s="15" t="n">
        <v>284.78</v>
      </c>
      <c r="J19" s="16" t="n">
        <v>0.06419999999999999</v>
      </c>
      <c r="K19" s="11" t="inlineStr">
        <is>
          <t>Estate Payoff</t>
        </is>
      </c>
      <c r="L19" s="17" t="inlineStr">
        <is>
          <t>Removed from portfolio 10/21/2026</t>
        </is>
      </c>
    </row>
    <row r="20">
      <c r="A20" s="4" t="inlineStr">
        <is>
          <t>MSR206167</t>
        </is>
      </c>
      <c r="B20" s="4" t="inlineStr">
        <is>
          <t>GNMA</t>
        </is>
      </c>
      <c r="C20" s="4" t="inlineStr">
        <is>
          <t>Conventional</t>
        </is>
      </c>
      <c r="D20" s="5" t="n">
        <v>46310</v>
      </c>
      <c r="E20" s="6" t="n">
        <v>310000</v>
      </c>
      <c r="F20" s="7" t="n">
        <v>308834.51</v>
      </c>
      <c r="G20" s="7" t="n">
        <v>310780.26</v>
      </c>
      <c r="H20" s="7" t="n">
        <v>1631.68</v>
      </c>
      <c r="I20" s="8" t="n">
        <v>314.07</v>
      </c>
      <c r="J20" s="9" t="n">
        <v>0.0634</v>
      </c>
      <c r="K20" s="4" t="inlineStr">
        <is>
          <t>Full Payoff</t>
        </is>
      </c>
      <c r="L20" s="10" t="inlineStr">
        <is>
          <t>Removed from portfolio 10/15/2026</t>
        </is>
      </c>
    </row>
    <row r="21">
      <c r="A21" s="11" t="inlineStr">
        <is>
          <t>MSR209019</t>
        </is>
      </c>
      <c r="B21" s="11" t="inlineStr">
        <is>
          <t>FNMA</t>
        </is>
      </c>
      <c r="C21" s="11" t="inlineStr">
        <is>
          <t>Conventional</t>
        </is>
      </c>
      <c r="D21" s="12" t="n">
        <v>46314</v>
      </c>
      <c r="E21" s="13" t="n">
        <v>295000</v>
      </c>
      <c r="F21" s="14" t="n">
        <v>294154.27</v>
      </c>
      <c r="G21" s="14" t="n">
        <v>295829.36</v>
      </c>
      <c r="H21" s="14" t="n">
        <v>1529.6</v>
      </c>
      <c r="I21" s="15" t="n">
        <v>145.49</v>
      </c>
      <c r="J21" s="16" t="n">
        <v>0.0624</v>
      </c>
      <c r="K21" s="11" t="inlineStr">
        <is>
          <t>Refinance Payoff</t>
        </is>
      </c>
      <c r="L21" s="17" t="inlineStr">
        <is>
          <t>Removed from portfolio 10/19/2026</t>
        </is>
      </c>
    </row>
    <row r="22">
      <c r="A22" s="4" t="inlineStr">
        <is>
          <t>MSR100033</t>
        </is>
      </c>
      <c r="B22" s="4" t="inlineStr">
        <is>
          <t>GNMA</t>
        </is>
      </c>
      <c r="C22" s="4" t="inlineStr">
        <is>
          <t>Conventional</t>
        </is>
      </c>
      <c r="D22" s="5" t="n">
        <v>46309</v>
      </c>
      <c r="E22" s="6" t="n">
        <v>230000</v>
      </c>
      <c r="F22" s="7" t="n">
        <v>223386.36</v>
      </c>
      <c r="G22" s="7" t="n">
        <v>225027.1</v>
      </c>
      <c r="H22" s="7" t="n">
        <v>1370.1</v>
      </c>
      <c r="I22" s="8" t="n">
        <v>270.64</v>
      </c>
      <c r="J22" s="9" t="n">
        <v>0.0736</v>
      </c>
      <c r="K22" s="4" t="inlineStr">
        <is>
          <t>Full Payoff</t>
        </is>
      </c>
      <c r="L22" s="10" t="inlineStr">
        <is>
          <t>Removed from portfolio 10/14/2026</t>
        </is>
      </c>
    </row>
    <row r="23">
      <c r="A23" s="11" t="inlineStr">
        <is>
          <t>MSR202055</t>
        </is>
      </c>
      <c r="B23" s="11" t="inlineStr">
        <is>
          <t>FNMA</t>
        </is>
      </c>
      <c r="C23" s="11" t="inlineStr">
        <is>
          <t>Conventional</t>
        </is>
      </c>
      <c r="D23" s="12" t="n">
        <v>46310</v>
      </c>
      <c r="E23" s="13" t="n">
        <v>375000</v>
      </c>
      <c r="F23" s="14" t="n">
        <v>372188.04</v>
      </c>
      <c r="G23" s="14" t="n">
        <v>374391.05</v>
      </c>
      <c r="H23" s="14" t="n">
        <v>1988.1</v>
      </c>
      <c r="I23" s="15" t="n">
        <v>214.91</v>
      </c>
      <c r="J23" s="16" t="n">
        <v>0.0641</v>
      </c>
      <c r="K23" s="11" t="inlineStr">
        <is>
          <t>Refinance Payoff</t>
        </is>
      </c>
      <c r="L23" s="17" t="inlineStr">
        <is>
          <t>Removed from portfolio 10/15/2026</t>
        </is>
      </c>
    </row>
    <row r="24">
      <c r="A24" s="4" t="inlineStr">
        <is>
          <t>MSR205070</t>
        </is>
      </c>
      <c r="B24" s="4" t="inlineStr">
        <is>
          <t>GNMA</t>
        </is>
      </c>
      <c r="C24" s="4" t="inlineStr">
        <is>
          <t>Conventional</t>
        </is>
      </c>
      <c r="D24" s="5" t="n">
        <v>46305</v>
      </c>
      <c r="E24" s="6" t="n">
        <v>365000</v>
      </c>
      <c r="F24" s="7" t="n">
        <v>362542.19</v>
      </c>
      <c r="G24" s="7" t="n">
        <v>364491.49</v>
      </c>
      <c r="H24" s="7" t="n">
        <v>1891.26</v>
      </c>
      <c r="I24" s="8" t="n">
        <v>58.04</v>
      </c>
      <c r="J24" s="9" t="n">
        <v>0.0626</v>
      </c>
      <c r="K24" s="4" t="inlineStr">
        <is>
          <t>Full Payoff</t>
        </is>
      </c>
      <c r="L24" s="10" t="inlineStr">
        <is>
          <t>Removed from portfolio 10/10/2026</t>
        </is>
      </c>
    </row>
    <row r="25">
      <c r="A25" s="11" t="inlineStr">
        <is>
          <t>MSR200121</t>
        </is>
      </c>
      <c r="B25" s="11" t="inlineStr">
        <is>
          <t>FNMA</t>
        </is>
      </c>
      <c r="C25" s="11" t="inlineStr">
        <is>
          <t>FHA</t>
        </is>
      </c>
      <c r="D25" s="12" t="n">
        <v>46297</v>
      </c>
      <c r="E25" s="13" t="n">
        <v>315000</v>
      </c>
      <c r="F25" s="14" t="n">
        <v>312773.75</v>
      </c>
      <c r="G25" s="14" t="n">
        <v>314692.95</v>
      </c>
      <c r="H25" s="14" t="n">
        <v>1913.13</v>
      </c>
      <c r="I25" s="15" t="n">
        <v>6.07</v>
      </c>
      <c r="J25" s="16" t="n">
        <v>0.07340000000000001</v>
      </c>
      <c r="K25" s="11" t="inlineStr">
        <is>
          <t>Full Payoff</t>
        </is>
      </c>
      <c r="L25" s="17" t="inlineStr">
        <is>
          <t>Removed from portfolio 10/02/2026</t>
        </is>
      </c>
    </row>
    <row r="26">
      <c r="A26" s="4" t="inlineStr">
        <is>
          <t>MSR209067</t>
        </is>
      </c>
      <c r="B26" s="4" t="inlineStr">
        <is>
          <t>FNMA</t>
        </is>
      </c>
      <c r="C26" s="4" t="inlineStr">
        <is>
          <t>FHA</t>
        </is>
      </c>
      <c r="D26" s="5" t="n">
        <v>46319</v>
      </c>
      <c r="E26" s="6" t="n">
        <v>540000</v>
      </c>
      <c r="F26" s="7" t="n">
        <v>534532.74</v>
      </c>
      <c r="G26" s="7" t="n">
        <v>537368.54</v>
      </c>
      <c r="H26" s="7" t="n">
        <v>2797.39</v>
      </c>
      <c r="I26" s="8" t="n">
        <v>38.41</v>
      </c>
      <c r="J26" s="9" t="n">
        <v>0.06279999999999999</v>
      </c>
      <c r="K26" s="4" t="inlineStr">
        <is>
          <t>Refinance Payoff</t>
        </is>
      </c>
      <c r="L26" s="10" t="inlineStr">
        <is>
          <t>Removed from portfolio 10/24/2026</t>
        </is>
      </c>
    </row>
    <row r="27">
      <c r="A27" s="11" t="inlineStr">
        <is>
          <t>MSR209088</t>
        </is>
      </c>
      <c r="B27" s="11" t="inlineStr">
        <is>
          <t>FNMA</t>
        </is>
      </c>
      <c r="C27" s="11" t="inlineStr">
        <is>
          <t>VA</t>
        </is>
      </c>
      <c r="D27" s="12" t="n">
        <v>46305</v>
      </c>
      <c r="E27" s="13" t="n">
        <v>430000</v>
      </c>
      <c r="F27" s="14" t="n">
        <v>429208.27</v>
      </c>
      <c r="G27" s="14" t="n">
        <v>431571.51</v>
      </c>
      <c r="H27" s="14" t="n">
        <v>2296.26</v>
      </c>
      <c r="I27" s="15" t="n">
        <v>66.98</v>
      </c>
      <c r="J27" s="16" t="n">
        <v>0.06419999999999999</v>
      </c>
      <c r="K27" s="11" t="inlineStr">
        <is>
          <t>Full Payoff</t>
        </is>
      </c>
      <c r="L27" s="17" t="inlineStr">
        <is>
          <t>Removed from portfolio 10/10/2026</t>
        </is>
      </c>
    </row>
    <row r="28">
      <c r="A28" s="4" t="inlineStr">
        <is>
          <t>MSR205175</t>
        </is>
      </c>
      <c r="B28" s="4" t="inlineStr">
        <is>
          <t>FHLMC</t>
        </is>
      </c>
      <c r="C28" s="4" t="inlineStr">
        <is>
          <t>FHA</t>
        </is>
      </c>
      <c r="D28" s="5" t="n">
        <v>46312</v>
      </c>
      <c r="E28" s="6" t="n">
        <v>270000</v>
      </c>
      <c r="F28" s="7" t="n">
        <v>267170.87</v>
      </c>
      <c r="G28" s="7" t="n">
        <v>268842.96</v>
      </c>
      <c r="H28" s="7" t="n">
        <v>1416.01</v>
      </c>
      <c r="I28" s="8" t="n">
        <v>256.08</v>
      </c>
      <c r="J28" s="9" t="n">
        <v>0.0636</v>
      </c>
      <c r="K28" s="4" t="inlineStr">
        <is>
          <t>Full Payoff</t>
        </is>
      </c>
      <c r="L28" s="10" t="inlineStr">
        <is>
          <t>Removed from portfolio 10/17/2026</t>
        </is>
      </c>
    </row>
    <row r="29">
      <c r="A29" s="11" t="inlineStr">
        <is>
          <t>MSR208161</t>
        </is>
      </c>
      <c r="B29" s="11" t="inlineStr">
        <is>
          <t>GNMA</t>
        </is>
      </c>
      <c r="C29" s="11" t="inlineStr">
        <is>
          <t>FHA</t>
        </is>
      </c>
      <c r="D29" s="12" t="n">
        <v>46321</v>
      </c>
      <c r="E29" s="13" t="n">
        <v>300000</v>
      </c>
      <c r="F29" s="14" t="n">
        <v>299450.83</v>
      </c>
      <c r="G29" s="14" t="n">
        <v>301226.53</v>
      </c>
      <c r="H29" s="14" t="n">
        <v>1609.55</v>
      </c>
      <c r="I29" s="15" t="n">
        <v>166.15</v>
      </c>
      <c r="J29" s="16" t="n">
        <v>0.0645</v>
      </c>
      <c r="K29" s="11" t="inlineStr">
        <is>
          <t>Sale Payoff</t>
        </is>
      </c>
      <c r="L29" s="17" t="inlineStr">
        <is>
          <t>Removed from portfolio 10/26/2026</t>
        </is>
      </c>
    </row>
    <row r="30">
      <c r="A30" s="4" t="inlineStr">
        <is>
          <t>MSR209040</t>
        </is>
      </c>
      <c r="B30" s="4" t="inlineStr">
        <is>
          <t>GNMA</t>
        </is>
      </c>
      <c r="C30" s="4" t="inlineStr">
        <is>
          <t>USDA</t>
        </is>
      </c>
      <c r="D30" s="5" t="n">
        <v>46303</v>
      </c>
      <c r="E30" s="6" t="n">
        <v>380000</v>
      </c>
      <c r="F30" s="7" t="n">
        <v>378902.2</v>
      </c>
      <c r="G30" s="7" t="n">
        <v>381195.45</v>
      </c>
      <c r="H30" s="7" t="n">
        <v>1957.66</v>
      </c>
      <c r="I30" s="8" t="n">
        <v>335.59</v>
      </c>
      <c r="J30" s="9" t="n">
        <v>0.062</v>
      </c>
      <c r="K30" s="4" t="inlineStr">
        <is>
          <t>Sale Payoff</t>
        </is>
      </c>
      <c r="L30" s="10" t="inlineStr">
        <is>
          <t>Removed from portfolio 10/08/2026</t>
        </is>
      </c>
    </row>
    <row r="31">
      <c r="A31" s="11" t="inlineStr">
        <is>
          <t>MSR209146</t>
        </is>
      </c>
      <c r="B31" s="11" t="inlineStr">
        <is>
          <t>FNMA</t>
        </is>
      </c>
      <c r="C31" s="11" t="inlineStr">
        <is>
          <t>VA</t>
        </is>
      </c>
      <c r="D31" s="12" t="n">
        <v>46307</v>
      </c>
      <c r="E31" s="13" t="n">
        <v>355000</v>
      </c>
      <c r="F31" s="14" t="n">
        <v>354255.05</v>
      </c>
      <c r="G31" s="14" t="n">
        <v>356399.56</v>
      </c>
      <c r="H31" s="14" t="n">
        <v>1848.03</v>
      </c>
      <c r="I31" s="15" t="n">
        <v>296.48</v>
      </c>
      <c r="J31" s="16" t="n">
        <v>0.0626</v>
      </c>
      <c r="K31" s="11" t="inlineStr">
        <is>
          <t>Refinance Payoff</t>
        </is>
      </c>
      <c r="L31" s="17" t="inlineStr">
        <is>
          <t>Removed from portfolio 10/12/2026</t>
        </is>
      </c>
    </row>
    <row r="32">
      <c r="A32" s="4" t="inlineStr">
        <is>
          <t>MSR204058</t>
        </is>
      </c>
      <c r="B32" s="4" t="inlineStr">
        <is>
          <t>FNMA</t>
        </is>
      </c>
      <c r="C32" s="4" t="inlineStr">
        <is>
          <t>USDA</t>
        </is>
      </c>
      <c r="D32" s="5" t="n">
        <v>46304</v>
      </c>
      <c r="E32" s="6" t="n">
        <v>375000</v>
      </c>
      <c r="F32" s="7" t="n">
        <v>370305.49</v>
      </c>
      <c r="G32" s="7" t="n">
        <v>372454.93</v>
      </c>
      <c r="H32" s="7" t="n">
        <v>1981.13</v>
      </c>
      <c r="I32" s="8" t="n">
        <v>168.31</v>
      </c>
      <c r="J32" s="9" t="n">
        <v>0.06419999999999999</v>
      </c>
      <c r="K32" s="4" t="inlineStr">
        <is>
          <t>Sale Payoff</t>
        </is>
      </c>
      <c r="L32" s="10" t="inlineStr">
        <is>
          <t>Removed from portfolio 10/09/2026</t>
        </is>
      </c>
    </row>
    <row r="33">
      <c r="A33" s="11" t="inlineStr">
        <is>
          <t>MSR208134</t>
        </is>
      </c>
      <c r="B33" s="11" t="inlineStr">
        <is>
          <t>FNMA</t>
        </is>
      </c>
      <c r="C33" s="11" t="inlineStr">
        <is>
          <t>Conventional</t>
        </is>
      </c>
      <c r="D33" s="12" t="n">
        <v>46317</v>
      </c>
      <c r="E33" s="13" t="n">
        <v>340000</v>
      </c>
      <c r="F33" s="14" t="n">
        <v>339350.62</v>
      </c>
      <c r="G33" s="14" t="n">
        <v>341368.03</v>
      </c>
      <c r="H33" s="14" t="n">
        <v>1761.8</v>
      </c>
      <c r="I33" s="15" t="n">
        <v>255.61</v>
      </c>
      <c r="J33" s="16" t="n">
        <v>0.0623</v>
      </c>
      <c r="K33" s="11" t="inlineStr">
        <is>
          <t>Refinance Payoff</t>
        </is>
      </c>
      <c r="L33" s="17" t="inlineStr">
        <is>
          <t>Removed from portfolio 10/22/2026</t>
        </is>
      </c>
    </row>
    <row r="34">
      <c r="A34" s="4" t="inlineStr">
        <is>
          <t>MSR200046</t>
        </is>
      </c>
      <c r="B34" s="4" t="inlineStr">
        <is>
          <t>FHLMC</t>
        </is>
      </c>
      <c r="C34" s="4" t="inlineStr">
        <is>
          <t>Conventional</t>
        </is>
      </c>
      <c r="D34" s="5" t="n">
        <v>46320</v>
      </c>
      <c r="E34" s="6" t="n">
        <v>280000</v>
      </c>
      <c r="F34" s="7" t="n">
        <v>277828.7</v>
      </c>
      <c r="G34" s="7" t="n">
        <v>279628.97</v>
      </c>
      <c r="H34" s="7" t="n">
        <v>1717.91</v>
      </c>
      <c r="I34" s="8" t="n">
        <v>82.36</v>
      </c>
      <c r="J34" s="9" t="n">
        <v>0.0742</v>
      </c>
      <c r="K34" s="4" t="inlineStr">
        <is>
          <t>Estate Payoff</t>
        </is>
      </c>
      <c r="L34" s="10" t="inlineStr">
        <is>
          <t>Removed from portfolio 10/25/2026</t>
        </is>
      </c>
    </row>
    <row r="35">
      <c r="A35" s="11" t="inlineStr">
        <is>
          <t>MSR200070</t>
        </is>
      </c>
      <c r="B35" s="11" t="inlineStr">
        <is>
          <t>FHLMC</t>
        </is>
      </c>
      <c r="C35" s="11" t="inlineStr">
        <is>
          <t>Conventional</t>
        </is>
      </c>
      <c r="D35" s="12" t="n">
        <v>46298</v>
      </c>
      <c r="E35" s="13" t="n">
        <v>475000</v>
      </c>
      <c r="F35" s="14" t="n">
        <v>470936.03</v>
      </c>
      <c r="G35" s="14" t="n">
        <v>473468.53</v>
      </c>
      <c r="H35" s="14" t="n">
        <v>2492.04</v>
      </c>
      <c r="I35" s="15" t="n">
        <v>40.46</v>
      </c>
      <c r="J35" s="16" t="n">
        <v>0.0635</v>
      </c>
      <c r="K35" s="11" t="inlineStr">
        <is>
          <t>Full Payoff</t>
        </is>
      </c>
      <c r="L35" s="17" t="inlineStr">
        <is>
          <t>Removed from portfolio 10/03/2026</t>
        </is>
      </c>
    </row>
    <row r="36">
      <c r="A36" s="4" t="inlineStr">
        <is>
          <t>MSR209039</t>
        </is>
      </c>
      <c r="B36" s="4" t="inlineStr">
        <is>
          <t>GNMA</t>
        </is>
      </c>
      <c r="C36" s="4" t="inlineStr">
        <is>
          <t>FHA</t>
        </is>
      </c>
      <c r="D36" s="5" t="n">
        <v>46300</v>
      </c>
      <c r="E36" s="6" t="n">
        <v>305000</v>
      </c>
      <c r="F36" s="7" t="n">
        <v>302957.2</v>
      </c>
      <c r="G36" s="7" t="n">
        <v>304722.57</v>
      </c>
      <c r="H36" s="7" t="n">
        <v>1600.62</v>
      </c>
      <c r="I36" s="8" t="n">
        <v>164.75</v>
      </c>
      <c r="J36" s="9" t="n">
        <v>0.0634</v>
      </c>
      <c r="K36" s="4" t="inlineStr">
        <is>
          <t>Full Payoff</t>
        </is>
      </c>
      <c r="L36" s="10" t="inlineStr">
        <is>
          <t>Removed from portfolio 10/05/2026</t>
        </is>
      </c>
    </row>
    <row r="37">
      <c r="A37" s="11" t="inlineStr">
        <is>
          <t>MSR100694</t>
        </is>
      </c>
      <c r="B37" s="11" t="inlineStr">
        <is>
          <t>FHLMC</t>
        </is>
      </c>
      <c r="C37" s="11" t="inlineStr">
        <is>
          <t>Conventional</t>
        </is>
      </c>
      <c r="D37" s="12" t="n">
        <v>46308</v>
      </c>
      <c r="E37" s="13" t="n">
        <v>310000</v>
      </c>
      <c r="F37" s="14" t="n">
        <v>295379.7</v>
      </c>
      <c r="G37" s="14" t="n">
        <v>297138.85</v>
      </c>
      <c r="H37" s="14" t="n">
        <v>1597.51</v>
      </c>
      <c r="I37" s="15" t="n">
        <v>161.64</v>
      </c>
      <c r="J37" s="16" t="n">
        <v>0.0649</v>
      </c>
      <c r="K37" s="11" t="inlineStr">
        <is>
          <t>Full Payoff</t>
        </is>
      </c>
      <c r="L37" s="17" t="inlineStr">
        <is>
          <t>Removed from portfolio 10/13/2026</t>
        </is>
      </c>
    </row>
    <row r="38">
      <c r="A38" s="4" t="inlineStr">
        <is>
          <t>MSR205173</t>
        </is>
      </c>
      <c r="B38" s="4" t="inlineStr">
        <is>
          <t>FHLMC</t>
        </is>
      </c>
      <c r="C38" s="4" t="inlineStr">
        <is>
          <t>Conventional</t>
        </is>
      </c>
      <c r="D38" s="5" t="n">
        <v>46310</v>
      </c>
      <c r="E38" s="6" t="n">
        <v>480000</v>
      </c>
      <c r="F38" s="7" t="n">
        <v>476846.97</v>
      </c>
      <c r="G38" s="7" t="n">
        <v>479413.66</v>
      </c>
      <c r="H38" s="7" t="n">
        <v>2539.21</v>
      </c>
      <c r="I38" s="8" t="n">
        <v>27.48</v>
      </c>
      <c r="J38" s="9" t="n">
        <v>0.0639</v>
      </c>
      <c r="K38" s="4" t="inlineStr">
        <is>
          <t>Full Payoff</t>
        </is>
      </c>
      <c r="L38" s="10" t="inlineStr">
        <is>
          <t>Removed from portfolio 10/15/2026</t>
        </is>
      </c>
    </row>
    <row r="39">
      <c r="A39" s="11" t="inlineStr">
        <is>
          <t>MSR200076</t>
        </is>
      </c>
      <c r="B39" s="11" t="inlineStr">
        <is>
          <t>FNMA</t>
        </is>
      </c>
      <c r="C39" s="11" t="inlineStr">
        <is>
          <t>FHA</t>
        </is>
      </c>
      <c r="D39" s="12" t="n">
        <v>46298</v>
      </c>
      <c r="E39" s="13" t="n">
        <v>450000</v>
      </c>
      <c r="F39" s="14" t="n">
        <v>441159.73</v>
      </c>
      <c r="G39" s="14" t="n">
        <v>443408.94</v>
      </c>
      <c r="H39" s="14" t="n">
        <v>2242.56</v>
      </c>
      <c r="I39" s="15" t="n">
        <v>6.65</v>
      </c>
      <c r="J39" s="16" t="n">
        <v>0.061</v>
      </c>
      <c r="K39" s="11" t="inlineStr">
        <is>
          <t>Estate Payoff</t>
        </is>
      </c>
      <c r="L39" s="17" t="inlineStr">
        <is>
          <t>Removed from portfolio 10/03/2026</t>
        </is>
      </c>
    </row>
    <row r="40">
      <c r="A40" s="4" t="inlineStr">
        <is>
          <t>MSR203111</t>
        </is>
      </c>
      <c r="B40" s="4" t="inlineStr">
        <is>
          <t>FNMA</t>
        </is>
      </c>
      <c r="C40" s="4" t="inlineStr">
        <is>
          <t>FHA</t>
        </is>
      </c>
      <c r="D40" s="5" t="n">
        <v>46316</v>
      </c>
      <c r="E40" s="6" t="n">
        <v>450000</v>
      </c>
      <c r="F40" s="7" t="n">
        <v>446834.73</v>
      </c>
      <c r="G40" s="7" t="n">
        <v>449110.27</v>
      </c>
      <c r="H40" s="7" t="n">
        <v>2245.34</v>
      </c>
      <c r="I40" s="8" t="n">
        <v>30.2</v>
      </c>
      <c r="J40" s="9" t="n">
        <v>0.0603</v>
      </c>
      <c r="K40" s="4" t="inlineStr">
        <is>
          <t>Refinance Payoff</t>
        </is>
      </c>
      <c r="L40" s="10" t="inlineStr">
        <is>
          <t>Removed from portfolio 10/21/2026</t>
        </is>
      </c>
    </row>
    <row r="41">
      <c r="A41" s="11" t="inlineStr">
        <is>
          <t>MSR100521</t>
        </is>
      </c>
      <c r="B41" s="11" t="inlineStr">
        <is>
          <t>FNMA</t>
        </is>
      </c>
      <c r="C41" s="11" t="inlineStr">
        <is>
          <t>Conventional</t>
        </is>
      </c>
      <c r="D41" s="12" t="n">
        <v>46313</v>
      </c>
      <c r="E41" s="13" t="n">
        <v>320000</v>
      </c>
      <c r="F41" s="14" t="n">
        <v>298620.03</v>
      </c>
      <c r="G41" s="14" t="n">
        <v>300240.52</v>
      </c>
      <c r="H41" s="14" t="n">
        <v>1306.46</v>
      </c>
      <c r="I41" s="15" t="n">
        <v>314.03</v>
      </c>
      <c r="J41" s="16" t="n">
        <v>0.0525</v>
      </c>
      <c r="K41" s="11" t="inlineStr">
        <is>
          <t>Sale Payoff</t>
        </is>
      </c>
      <c r="L41" s="17" t="inlineStr">
        <is>
          <t>Removed from portfolio 10/18/2026</t>
        </is>
      </c>
    </row>
    <row r="42">
      <c r="A42" s="4" t="inlineStr">
        <is>
          <t>MSR100881</t>
        </is>
      </c>
      <c r="B42" s="4" t="inlineStr">
        <is>
          <t>FNMA</t>
        </is>
      </c>
      <c r="C42" s="4" t="inlineStr">
        <is>
          <t>Conventional</t>
        </is>
      </c>
      <c r="D42" s="5" t="n">
        <v>46317</v>
      </c>
      <c r="E42" s="6" t="n">
        <v>385000</v>
      </c>
      <c r="F42" s="7" t="n">
        <v>328951.09</v>
      </c>
      <c r="G42" s="7" t="n">
        <v>330139.23</v>
      </c>
      <c r="H42" s="7" t="n">
        <v>932.03</v>
      </c>
      <c r="I42" s="8" t="n">
        <v>256.11</v>
      </c>
      <c r="J42" s="9" t="n">
        <v>0.034</v>
      </c>
      <c r="K42" s="4" t="inlineStr">
        <is>
          <t>Refinance Payoff</t>
        </is>
      </c>
      <c r="L42" s="10" t="inlineStr">
        <is>
          <t>Removed from portfolio 10/22/2026</t>
        </is>
      </c>
    </row>
    <row r="43">
      <c r="A43" s="11" t="inlineStr">
        <is>
          <t>MSR100190</t>
        </is>
      </c>
      <c r="B43" s="11" t="inlineStr">
        <is>
          <t>GNMA</t>
        </is>
      </c>
      <c r="C43" s="11" t="inlineStr">
        <is>
          <t>Conventional</t>
        </is>
      </c>
      <c r="D43" s="12" t="n">
        <v>46316</v>
      </c>
      <c r="E43" s="13" t="n">
        <v>350000</v>
      </c>
      <c r="F43" s="14" t="n">
        <v>196879.34</v>
      </c>
      <c r="G43" s="14" t="n">
        <v>197721.75</v>
      </c>
      <c r="H43" s="14" t="n">
        <v>579.15</v>
      </c>
      <c r="I43" s="15" t="n">
        <v>263.26</v>
      </c>
      <c r="J43" s="16" t="n">
        <v>0.0353</v>
      </c>
      <c r="K43" s="11" t="inlineStr">
        <is>
          <t>Refinance Payoff</t>
        </is>
      </c>
      <c r="L43" s="17" t="inlineStr">
        <is>
          <t>Removed from portfolio 10/21/2026</t>
        </is>
      </c>
    </row>
    <row r="44">
      <c r="A44" s="4" t="inlineStr">
        <is>
          <t>MSR100415</t>
        </is>
      </c>
      <c r="B44" s="4" t="inlineStr">
        <is>
          <t>FNMA</t>
        </is>
      </c>
      <c r="C44" s="4" t="inlineStr">
        <is>
          <t>Conventional</t>
        </is>
      </c>
      <c r="D44" s="5" t="n">
        <v>46317</v>
      </c>
      <c r="E44" s="6" t="n">
        <v>405000</v>
      </c>
      <c r="F44" s="7" t="n">
        <v>229997.71</v>
      </c>
      <c r="G44" s="7" t="n">
        <v>231203.88</v>
      </c>
      <c r="H44" s="7" t="n">
        <v>872.0700000000001</v>
      </c>
      <c r="I44" s="8" t="n">
        <v>334.1</v>
      </c>
      <c r="J44" s="9" t="n">
        <v>0.0455</v>
      </c>
      <c r="K44" s="4" t="inlineStr">
        <is>
          <t>Full Payoff</t>
        </is>
      </c>
      <c r="L44" s="10" t="inlineStr">
        <is>
          <t>Removed from portfolio 10/22/2026</t>
        </is>
      </c>
    </row>
    <row r="45">
      <c r="A45" s="11" t="inlineStr">
        <is>
          <t>MSR204006</t>
        </is>
      </c>
      <c r="B45" s="11" t="inlineStr">
        <is>
          <t>FNMA</t>
        </is>
      </c>
      <c r="C45" s="11" t="inlineStr">
        <is>
          <t>Conventional</t>
        </is>
      </c>
      <c r="D45" s="12" t="n">
        <v>46313</v>
      </c>
      <c r="E45" s="13" t="n">
        <v>280000</v>
      </c>
      <c r="F45" s="14" t="n">
        <v>278082</v>
      </c>
      <c r="G45" s="14" t="n">
        <v>279744.45</v>
      </c>
      <c r="H45" s="14" t="n">
        <v>1429.8</v>
      </c>
      <c r="I45" s="15" t="n">
        <v>232.65</v>
      </c>
      <c r="J45" s="16" t="n">
        <v>0.0617</v>
      </c>
      <c r="K45" s="11" t="inlineStr">
        <is>
          <t>Refinance Payoff</t>
        </is>
      </c>
      <c r="L45" s="17" t="inlineStr">
        <is>
          <t>Removed from portfolio 10/18/2026</t>
        </is>
      </c>
    </row>
    <row r="46">
      <c r="A46" s="4" t="inlineStr">
        <is>
          <t>MSR203097</t>
        </is>
      </c>
      <c r="B46" s="4" t="inlineStr">
        <is>
          <t>GNMA</t>
        </is>
      </c>
      <c r="C46" s="4" t="inlineStr">
        <is>
          <t>Conventional</t>
        </is>
      </c>
      <c r="D46" s="5" t="n">
        <v>46306</v>
      </c>
      <c r="E46" s="6" t="n">
        <v>320000</v>
      </c>
      <c r="F46" s="7" t="n">
        <v>317074.94</v>
      </c>
      <c r="G46" s="7" t="n">
        <v>318679.94</v>
      </c>
      <c r="H46" s="7" t="n">
        <v>1585.37</v>
      </c>
      <c r="I46" s="8" t="n">
        <v>19.63</v>
      </c>
      <c r="J46" s="9" t="n">
        <v>0.06</v>
      </c>
      <c r="K46" s="4" t="inlineStr">
        <is>
          <t>Full Payoff</t>
        </is>
      </c>
      <c r="L46" s="10" t="inlineStr">
        <is>
          <t>Removed from portfolio 10/11/2026</t>
        </is>
      </c>
    </row>
    <row r="47">
      <c r="A47" s="11" t="inlineStr">
        <is>
          <t>MSR204183</t>
        </is>
      </c>
      <c r="B47" s="11" t="inlineStr">
        <is>
          <t>FHLMC</t>
        </is>
      </c>
      <c r="C47" s="11" t="inlineStr">
        <is>
          <t>Conventional</t>
        </is>
      </c>
      <c r="D47" s="12" t="n">
        <v>46315</v>
      </c>
      <c r="E47" s="13" t="n">
        <v>400000</v>
      </c>
      <c r="F47" s="14" t="n">
        <v>397657.52</v>
      </c>
      <c r="G47" s="14" t="n">
        <v>399926.89</v>
      </c>
      <c r="H47" s="14" t="n">
        <v>2044.62</v>
      </c>
      <c r="I47" s="15" t="n">
        <v>224.75</v>
      </c>
      <c r="J47" s="16" t="n">
        <v>0.0617</v>
      </c>
      <c r="K47" s="11" t="inlineStr">
        <is>
          <t>Full Payoff</t>
        </is>
      </c>
      <c r="L47" s="17" t="inlineStr">
        <is>
          <t>Removed from portfolio 10/20/2026</t>
        </is>
      </c>
    </row>
    <row r="48">
      <c r="A48" s="4" t="inlineStr">
        <is>
          <t>MSR203174</t>
        </is>
      </c>
      <c r="B48" s="4" t="inlineStr">
        <is>
          <t>Portfolio</t>
        </is>
      </c>
      <c r="C48" s="4" t="inlineStr">
        <is>
          <t>Conventional</t>
        </is>
      </c>
      <c r="D48" s="5" t="n">
        <v>46304</v>
      </c>
      <c r="E48" s="6" t="n">
        <v>205000</v>
      </c>
      <c r="F48" s="7" t="n">
        <v>203363.4</v>
      </c>
      <c r="G48" s="7" t="n">
        <v>204423.94</v>
      </c>
      <c r="H48" s="7" t="n">
        <v>1030.37</v>
      </c>
      <c r="I48" s="8" t="n">
        <v>30.17</v>
      </c>
      <c r="J48" s="9" t="n">
        <v>0.0608</v>
      </c>
      <c r="K48" s="4" t="inlineStr">
        <is>
          <t>Estate Payoff</t>
        </is>
      </c>
      <c r="L48" s="10" t="inlineStr">
        <is>
          <t>Removed from portfolio 10/09/2026</t>
        </is>
      </c>
    </row>
    <row r="49">
      <c r="A49" s="11" t="inlineStr">
        <is>
          <t>MSR208099</t>
        </is>
      </c>
      <c r="B49" s="11" t="inlineStr">
        <is>
          <t>FHLMC</t>
        </is>
      </c>
      <c r="C49" s="11" t="inlineStr">
        <is>
          <t>FHA</t>
        </is>
      </c>
      <c r="D49" s="12" t="n">
        <v>46319</v>
      </c>
      <c r="E49" s="13" t="n">
        <v>390000</v>
      </c>
      <c r="F49" s="14" t="n">
        <v>389246.49</v>
      </c>
      <c r="G49" s="14" t="n">
        <v>391369.54</v>
      </c>
      <c r="H49" s="14" t="n">
        <v>2001.38</v>
      </c>
      <c r="I49" s="15" t="n">
        <v>121.67</v>
      </c>
      <c r="J49" s="16" t="n">
        <v>0.0617</v>
      </c>
      <c r="K49" s="11" t="inlineStr">
        <is>
          <t>Estate Payoff</t>
        </is>
      </c>
      <c r="L49" s="17" t="inlineStr">
        <is>
          <t>Removed from portfolio 10/24/2026</t>
        </is>
      </c>
    </row>
    <row r="50">
      <c r="A50" s="4" t="inlineStr">
        <is>
          <t>MSR100067</t>
        </is>
      </c>
      <c r="B50" s="4" t="inlineStr">
        <is>
          <t>FNMA</t>
        </is>
      </c>
      <c r="C50" s="4" t="inlineStr">
        <is>
          <t>Conventional</t>
        </is>
      </c>
      <c r="D50" s="5" t="n">
        <v>46318</v>
      </c>
      <c r="E50" s="6" t="n">
        <v>410000</v>
      </c>
      <c r="F50" s="7" t="n">
        <v>342885.69</v>
      </c>
      <c r="G50" s="7" t="n">
        <v>344275.49</v>
      </c>
      <c r="H50" s="7" t="n">
        <v>1205.81</v>
      </c>
      <c r="I50" s="8" t="n">
        <v>183.99</v>
      </c>
      <c r="J50" s="9" t="n">
        <v>0.0422</v>
      </c>
      <c r="K50" s="4" t="inlineStr">
        <is>
          <t>Full Payoff</t>
        </is>
      </c>
      <c r="L50" s="10" t="inlineStr">
        <is>
          <t>Removed from portfolio 10/23/2026</t>
        </is>
      </c>
    </row>
    <row r="51">
      <c r="A51" s="11" t="inlineStr">
        <is>
          <t>MSR100780</t>
        </is>
      </c>
      <c r="B51" s="11" t="inlineStr">
        <is>
          <t>FNMA</t>
        </is>
      </c>
      <c r="C51" s="11" t="inlineStr">
        <is>
          <t>Conventional</t>
        </is>
      </c>
      <c r="D51" s="12" t="n">
        <v>46313</v>
      </c>
      <c r="E51" s="13" t="n">
        <v>210000</v>
      </c>
      <c r="F51" s="14" t="n">
        <v>171168.03</v>
      </c>
      <c r="G51" s="14" t="n">
        <v>171942.57</v>
      </c>
      <c r="H51" s="14" t="n">
        <v>606.22</v>
      </c>
      <c r="I51" s="15" t="n">
        <v>168.32</v>
      </c>
      <c r="J51" s="16" t="n">
        <v>0.0425</v>
      </c>
      <c r="K51" s="11" t="inlineStr">
        <is>
          <t>Refinance Payoff</t>
        </is>
      </c>
      <c r="L51" s="17" t="inlineStr">
        <is>
          <t>Removed from portfolio 10/18/2026</t>
        </is>
      </c>
    </row>
    <row r="52">
      <c r="A52" s="4" t="inlineStr">
        <is>
          <t>MSR100131</t>
        </is>
      </c>
      <c r="B52" s="4" t="inlineStr">
        <is>
          <t>Portfolio</t>
        </is>
      </c>
      <c r="C52" s="4" t="inlineStr">
        <is>
          <t>VA</t>
        </is>
      </c>
      <c r="D52" s="5" t="n">
        <v>46321</v>
      </c>
      <c r="E52" s="6" t="n">
        <v>465000</v>
      </c>
      <c r="F52" s="7" t="n">
        <v>434466.79</v>
      </c>
      <c r="G52" s="7" t="n">
        <v>436428.11</v>
      </c>
      <c r="H52" s="7" t="n">
        <v>1842.86</v>
      </c>
      <c r="I52" s="8" t="n">
        <v>118.46</v>
      </c>
      <c r="J52" s="9" t="n">
        <v>0.0509</v>
      </c>
      <c r="K52" s="4" t="inlineStr">
        <is>
          <t>Estate Payoff</t>
        </is>
      </c>
      <c r="L52" s="10" t="inlineStr">
        <is>
          <t>Removed from portfolio 10/26/2026</t>
        </is>
      </c>
    </row>
    <row r="53">
      <c r="A53" s="11" t="inlineStr">
        <is>
          <t>MSR100907</t>
        </is>
      </c>
      <c r="B53" s="11" t="inlineStr">
        <is>
          <t>FHLMC</t>
        </is>
      </c>
      <c r="C53" s="11" t="inlineStr">
        <is>
          <t>Conventional</t>
        </is>
      </c>
      <c r="D53" s="12" t="n">
        <v>46300</v>
      </c>
      <c r="E53" s="13" t="n">
        <v>415000</v>
      </c>
      <c r="F53" s="14" t="n">
        <v>146672.42</v>
      </c>
      <c r="G53" s="14" t="n">
        <v>147498.87</v>
      </c>
      <c r="H53" s="14" t="n">
        <v>495.02</v>
      </c>
      <c r="I53" s="15" t="n">
        <v>331.43</v>
      </c>
      <c r="J53" s="16" t="n">
        <v>0.0405</v>
      </c>
      <c r="K53" s="11" t="inlineStr">
        <is>
          <t>Refinance Payoff</t>
        </is>
      </c>
      <c r="L53" s="17" t="inlineStr">
        <is>
          <t>Removed from portfolio 10/05/2026</t>
        </is>
      </c>
    </row>
    <row r="54">
      <c r="A54" s="4" t="inlineStr">
        <is>
          <t>MSR203076</t>
        </is>
      </c>
      <c r="B54" s="4" t="inlineStr">
        <is>
          <t>FNMA</t>
        </is>
      </c>
      <c r="C54" s="4" t="inlineStr">
        <is>
          <t>VA</t>
        </is>
      </c>
      <c r="D54" s="5" t="n">
        <v>46300</v>
      </c>
      <c r="E54" s="6" t="n">
        <v>375000</v>
      </c>
      <c r="F54" s="7" t="n">
        <v>372377.19</v>
      </c>
      <c r="G54" s="7" t="n">
        <v>374435.83</v>
      </c>
      <c r="H54" s="7" t="n">
        <v>1880.5</v>
      </c>
      <c r="I54" s="8" t="n">
        <v>178.14</v>
      </c>
      <c r="J54" s="9" t="n">
        <v>0.0606</v>
      </c>
      <c r="K54" s="4" t="inlineStr">
        <is>
          <t>Refinance Payoff</t>
        </is>
      </c>
      <c r="L54" s="10" t="inlineStr">
        <is>
          <t>Removed from portfolio 10/05/2026</t>
        </is>
      </c>
    </row>
    <row r="55">
      <c r="A55" s="11" t="inlineStr">
        <is>
          <t>MSR100876</t>
        </is>
      </c>
      <c r="B55" s="11" t="inlineStr">
        <is>
          <t>FNMA</t>
        </is>
      </c>
      <c r="C55" s="11" t="inlineStr">
        <is>
          <t>Conventional</t>
        </is>
      </c>
      <c r="D55" s="12" t="n">
        <v>46320</v>
      </c>
      <c r="E55" s="13" t="n">
        <v>365000</v>
      </c>
      <c r="F55" s="14" t="n">
        <v>354505.34</v>
      </c>
      <c r="G55" s="14" t="n">
        <v>356528.52</v>
      </c>
      <c r="H55" s="14" t="n">
        <v>1769.57</v>
      </c>
      <c r="I55" s="15" t="n">
        <v>253.61</v>
      </c>
      <c r="J55" s="16" t="n">
        <v>0.0599</v>
      </c>
      <c r="K55" s="11" t="inlineStr">
        <is>
          <t>Sale Payoff</t>
        </is>
      </c>
      <c r="L55" s="17" t="inlineStr">
        <is>
          <t>Removed from portfolio 10/25/2026</t>
        </is>
      </c>
    </row>
    <row r="56">
      <c r="A56" s="4" t="inlineStr">
        <is>
          <t>MSR207070</t>
        </is>
      </c>
      <c r="B56" s="4" t="inlineStr">
        <is>
          <t>FNMA</t>
        </is>
      </c>
      <c r="C56" s="4" t="inlineStr">
        <is>
          <t>Conventional</t>
        </is>
      </c>
      <c r="D56" s="5" t="n">
        <v>46303</v>
      </c>
      <c r="E56" s="6" t="n">
        <v>285000</v>
      </c>
      <c r="F56" s="7" t="n">
        <v>283890.91</v>
      </c>
      <c r="G56" s="7" t="n">
        <v>285520.14</v>
      </c>
      <c r="H56" s="7" t="n">
        <v>1457.31</v>
      </c>
      <c r="I56" s="8" t="n">
        <v>171.92</v>
      </c>
      <c r="J56" s="9" t="n">
        <v>0.0616</v>
      </c>
      <c r="K56" s="4" t="inlineStr">
        <is>
          <t>Full Payoff</t>
        </is>
      </c>
      <c r="L56" s="10" t="inlineStr">
        <is>
          <t>Removed from portfolio 10/08/2026</t>
        </is>
      </c>
    </row>
    <row r="57">
      <c r="A57" s="11" t="inlineStr">
        <is>
          <t>MSR100089</t>
        </is>
      </c>
      <c r="B57" s="11" t="inlineStr">
        <is>
          <t>Portfolio</t>
        </is>
      </c>
      <c r="C57" s="11" t="inlineStr">
        <is>
          <t>Conventional</t>
        </is>
      </c>
      <c r="D57" s="12" t="n">
        <v>46305</v>
      </c>
      <c r="E57" s="13" t="n">
        <v>465000</v>
      </c>
      <c r="F57" s="14" t="n">
        <v>411019.83</v>
      </c>
      <c r="G57" s="14" t="n">
        <v>412071.94</v>
      </c>
      <c r="H57" s="14" t="n">
        <v>962.47</v>
      </c>
      <c r="I57" s="15" t="n">
        <v>89.64</v>
      </c>
      <c r="J57" s="16" t="n">
        <v>0.0281</v>
      </c>
      <c r="K57" s="11" t="inlineStr">
        <is>
          <t>Estate Payoff</t>
        </is>
      </c>
      <c r="L57" s="17" t="inlineStr">
        <is>
          <t>Removed from portfolio 10/10/2026</t>
        </is>
      </c>
    </row>
    <row r="58">
      <c r="A58" s="18" t="inlineStr">
        <is>
          <t>TOTALS</t>
        </is>
      </c>
      <c r="B58" s="19" t="n"/>
      <c r="C58" s="19" t="n"/>
      <c r="D58" s="19" t="n"/>
      <c r="E58" s="20">
        <f>SUM(E4:E57)</f>
        <v/>
      </c>
      <c r="F58" s="20">
        <f>SUM(F4:F57)</f>
        <v/>
      </c>
      <c r="G58" s="20">
        <f>SUM(G4:G57)</f>
        <v/>
      </c>
      <c r="H58" s="20">
        <f>SUM(H4:H57)</f>
        <v/>
      </c>
      <c r="I58" s="20">
        <f>SUM(I4:I57)</f>
        <v/>
      </c>
      <c r="J58" s="19" t="n"/>
      <c r="K58" s="19" t="n"/>
      <c r="L58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2026-02-22T20:27:14Z</dcterms:created>
  <dcterms:modified xmlns:dcterms="http://purl.org/dc/terms/" xmlns:xsi="http://www.w3.org/2001/XMLSchema-instance" xsi:type="dcterms:W3CDTF">2026-02-22T20:27:14Z</dcterms:modified>
</cp:coreProperties>
</file>