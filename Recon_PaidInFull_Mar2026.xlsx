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Mar 2026  |  14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MSR200085</t>
        </is>
      </c>
      <c r="B4" s="4" t="inlineStr">
        <is>
          <t>Portfolio</t>
        </is>
      </c>
      <c r="C4" s="4" t="inlineStr">
        <is>
          <t>Conventional</t>
        </is>
      </c>
      <c r="D4" s="5" t="n">
        <v>46097</v>
      </c>
      <c r="E4" s="6" t="n">
        <v>275000</v>
      </c>
      <c r="F4" s="7" t="n">
        <v>274538.88</v>
      </c>
      <c r="G4" s="7" t="n">
        <v>276216.61</v>
      </c>
      <c r="H4" s="7" t="n">
        <v>1578.6</v>
      </c>
      <c r="I4" s="8" t="n">
        <v>99.13</v>
      </c>
      <c r="J4" s="9" t="n">
        <v>0.06900000000000001</v>
      </c>
      <c r="K4" s="4" t="inlineStr">
        <is>
          <t>Refinance Payoff</t>
        </is>
      </c>
      <c r="L4" s="10" t="inlineStr">
        <is>
          <t>Removed from portfolio 03/16/2026</t>
        </is>
      </c>
    </row>
    <row r="5">
      <c r="A5" s="11" t="inlineStr">
        <is>
          <t>MSR200073</t>
        </is>
      </c>
      <c r="B5" s="11" t="inlineStr">
        <is>
          <t>FNMA</t>
        </is>
      </c>
      <c r="C5" s="11" t="inlineStr">
        <is>
          <t>Conventional</t>
        </is>
      </c>
      <c r="D5" s="12" t="n">
        <v>46085</v>
      </c>
      <c r="E5" s="13" t="n">
        <v>310000</v>
      </c>
      <c r="F5" s="14" t="n">
        <v>308753.92</v>
      </c>
      <c r="G5" s="14" t="n">
        <v>310411.75</v>
      </c>
      <c r="H5" s="14" t="n">
        <v>1541.2</v>
      </c>
      <c r="I5" s="15" t="n">
        <v>116.63</v>
      </c>
      <c r="J5" s="16" t="n">
        <v>0.0599</v>
      </c>
      <c r="K5" s="11" t="inlineStr">
        <is>
          <t>Refinance Payoff</t>
        </is>
      </c>
      <c r="L5" s="17" t="inlineStr">
        <is>
          <t>Removed from portfolio 03/04/2026</t>
        </is>
      </c>
    </row>
    <row r="6">
      <c r="A6" s="4" t="inlineStr">
        <is>
          <t>MSR100942</t>
        </is>
      </c>
      <c r="B6" s="4" t="inlineStr">
        <is>
          <t>GNMA</t>
        </is>
      </c>
      <c r="C6" s="4" t="inlineStr">
        <is>
          <t>FHA</t>
        </is>
      </c>
      <c r="D6" s="5" t="n">
        <v>46089</v>
      </c>
      <c r="E6" s="6" t="n">
        <v>370000</v>
      </c>
      <c r="F6" s="7" t="n">
        <v>282593.74</v>
      </c>
      <c r="G6" s="7" t="n">
        <v>283571.03</v>
      </c>
      <c r="H6" s="7" t="n">
        <v>923.14</v>
      </c>
      <c r="I6" s="8" t="n">
        <v>54.15</v>
      </c>
      <c r="J6" s="9" t="n">
        <v>0.0392</v>
      </c>
      <c r="K6" s="4" t="inlineStr">
        <is>
          <t>Refinance Payoff</t>
        </is>
      </c>
      <c r="L6" s="10" t="inlineStr">
        <is>
          <t>Removed from portfolio 03/08/2026</t>
        </is>
      </c>
    </row>
    <row r="7">
      <c r="A7" s="11" t="inlineStr">
        <is>
          <t>MSR200027</t>
        </is>
      </c>
      <c r="B7" s="11" t="inlineStr">
        <is>
          <t>FHLMC</t>
        </is>
      </c>
      <c r="C7" s="11" t="inlineStr">
        <is>
          <t>Conventional</t>
        </is>
      </c>
      <c r="D7" s="12" t="n">
        <v>46083</v>
      </c>
      <c r="E7" s="13" t="n">
        <v>350000</v>
      </c>
      <c r="F7" s="14" t="n">
        <v>348689.18</v>
      </c>
      <c r="G7" s="14" t="n">
        <v>350541.72</v>
      </c>
      <c r="H7" s="14" t="n">
        <v>1848.05</v>
      </c>
      <c r="I7" s="15" t="n">
        <v>4.49</v>
      </c>
      <c r="J7" s="16" t="n">
        <v>0.0636</v>
      </c>
      <c r="K7" s="11" t="inlineStr">
        <is>
          <t>Estate Payoff</t>
        </is>
      </c>
      <c r="L7" s="17" t="inlineStr">
        <is>
          <t>Removed from portfolio 03/02/2026</t>
        </is>
      </c>
    </row>
    <row r="8">
      <c r="A8" s="4" t="inlineStr">
        <is>
          <t>MSR100092</t>
        </is>
      </c>
      <c r="B8" s="4" t="inlineStr">
        <is>
          <t>FHLMC</t>
        </is>
      </c>
      <c r="C8" s="4" t="inlineStr">
        <is>
          <t>Conventional</t>
        </is>
      </c>
      <c r="D8" s="5" t="n">
        <v>46098</v>
      </c>
      <c r="E8" s="6" t="n">
        <v>230000</v>
      </c>
      <c r="F8" s="7" t="n">
        <v>184728.32</v>
      </c>
      <c r="G8" s="7" t="n">
        <v>185299.4</v>
      </c>
      <c r="H8" s="7" t="n">
        <v>429.49</v>
      </c>
      <c r="I8" s="8" t="n">
        <v>141.59</v>
      </c>
      <c r="J8" s="9" t="n">
        <v>0.0279</v>
      </c>
      <c r="K8" s="4" t="inlineStr">
        <is>
          <t>Full Payoff</t>
        </is>
      </c>
      <c r="L8" s="10" t="inlineStr">
        <is>
          <t>Removed from portfolio 03/17/2026</t>
        </is>
      </c>
    </row>
    <row r="9">
      <c r="A9" s="11" t="inlineStr">
        <is>
          <t>MSR100631</t>
        </is>
      </c>
      <c r="B9" s="11" t="inlineStr">
        <is>
          <t>FNMA</t>
        </is>
      </c>
      <c r="C9" s="11" t="inlineStr">
        <is>
          <t>FHA</t>
        </is>
      </c>
      <c r="D9" s="12" t="n">
        <v>46095</v>
      </c>
      <c r="E9" s="13" t="n">
        <v>410000</v>
      </c>
      <c r="F9" s="14" t="n">
        <v>339568.49</v>
      </c>
      <c r="G9" s="14" t="n">
        <v>341637.13</v>
      </c>
      <c r="H9" s="14" t="n">
        <v>1728.97</v>
      </c>
      <c r="I9" s="15" t="n">
        <v>339.67</v>
      </c>
      <c r="J9" s="16" t="n">
        <v>0.0611</v>
      </c>
      <c r="K9" s="11" t="inlineStr">
        <is>
          <t>Estate Payoff</t>
        </is>
      </c>
      <c r="L9" s="17" t="inlineStr">
        <is>
          <t>Removed from portfolio 03/14/2026</t>
        </is>
      </c>
    </row>
    <row r="10">
      <c r="A10" s="4" t="inlineStr">
        <is>
          <t>MSR100412</t>
        </is>
      </c>
      <c r="B10" s="4" t="inlineStr">
        <is>
          <t>FHLMC</t>
        </is>
      </c>
      <c r="C10" s="4" t="inlineStr">
        <is>
          <t>Conventional</t>
        </is>
      </c>
      <c r="D10" s="5" t="n">
        <v>46095</v>
      </c>
      <c r="E10" s="6" t="n">
        <v>200000</v>
      </c>
      <c r="F10" s="7" t="n">
        <v>160310.08</v>
      </c>
      <c r="G10" s="7" t="n">
        <v>161031.82</v>
      </c>
      <c r="H10" s="7" t="n">
        <v>550.4</v>
      </c>
      <c r="I10" s="8" t="n">
        <v>171.34</v>
      </c>
      <c r="J10" s="9" t="n">
        <v>0.0412</v>
      </c>
      <c r="K10" s="4" t="inlineStr">
        <is>
          <t>Refinance Payoff</t>
        </is>
      </c>
      <c r="L10" s="10" t="inlineStr">
        <is>
          <t>Removed from portfolio 03/14/2026</t>
        </is>
      </c>
    </row>
    <row r="11">
      <c r="A11" s="11" t="inlineStr">
        <is>
          <t>MSR100680</t>
        </is>
      </c>
      <c r="B11" s="11" t="inlineStr">
        <is>
          <t>GNMA</t>
        </is>
      </c>
      <c r="C11" s="11" t="inlineStr">
        <is>
          <t>FHA</t>
        </is>
      </c>
      <c r="D11" s="12" t="n">
        <v>46096</v>
      </c>
      <c r="E11" s="13" t="n">
        <v>425000</v>
      </c>
      <c r="F11" s="14" t="n">
        <v>400395.58</v>
      </c>
      <c r="G11" s="14" t="n">
        <v>402373.64</v>
      </c>
      <c r="H11" s="14" t="n">
        <v>1668.31</v>
      </c>
      <c r="I11" s="15" t="n">
        <v>309.75</v>
      </c>
      <c r="J11" s="16" t="n">
        <v>0.05</v>
      </c>
      <c r="K11" s="11" t="inlineStr">
        <is>
          <t>Refinance Payoff</t>
        </is>
      </c>
      <c r="L11" s="17" t="inlineStr">
        <is>
          <t>Removed from portfolio 03/15/2026</t>
        </is>
      </c>
    </row>
    <row r="12">
      <c r="A12" s="4" t="inlineStr">
        <is>
          <t>MSR200084</t>
        </is>
      </c>
      <c r="B12" s="4" t="inlineStr">
        <is>
          <t>FNMA</t>
        </is>
      </c>
      <c r="C12" s="4" t="inlineStr">
        <is>
          <t>FHA</t>
        </is>
      </c>
      <c r="D12" s="5" t="n">
        <v>46095</v>
      </c>
      <c r="E12" s="6" t="n">
        <v>355000</v>
      </c>
      <c r="F12" s="7" t="n">
        <v>354046.89</v>
      </c>
      <c r="G12" s="7" t="n">
        <v>356314.5</v>
      </c>
      <c r="H12" s="7" t="n">
        <v>1941.36</v>
      </c>
      <c r="I12" s="8" t="n">
        <v>326.25</v>
      </c>
      <c r="J12" s="9" t="n">
        <v>0.0658</v>
      </c>
      <c r="K12" s="4" t="inlineStr">
        <is>
          <t>Sale Payoff</t>
        </is>
      </c>
      <c r="L12" s="10" t="inlineStr">
        <is>
          <t>Removed from portfolio 03/14/2026</t>
        </is>
      </c>
    </row>
    <row r="13">
      <c r="A13" s="11" t="inlineStr">
        <is>
          <t>MSR100173</t>
        </is>
      </c>
      <c r="B13" s="11" t="inlineStr">
        <is>
          <t>FNMA</t>
        </is>
      </c>
      <c r="C13" s="11" t="inlineStr">
        <is>
          <t>Conventional</t>
        </is>
      </c>
      <c r="D13" s="12" t="n">
        <v>46089</v>
      </c>
      <c r="E13" s="13" t="n">
        <v>490000</v>
      </c>
      <c r="F13" s="14" t="n">
        <v>467902.79</v>
      </c>
      <c r="G13" s="14" t="n">
        <v>470688.7</v>
      </c>
      <c r="H13" s="14" t="n">
        <v>2518.88</v>
      </c>
      <c r="I13" s="15" t="n">
        <v>267.03</v>
      </c>
      <c r="J13" s="16" t="n">
        <v>0.0646</v>
      </c>
      <c r="K13" s="11" t="inlineStr">
        <is>
          <t>Full Payoff</t>
        </is>
      </c>
      <c r="L13" s="17" t="inlineStr">
        <is>
          <t>Removed from portfolio 03/08/2026</t>
        </is>
      </c>
    </row>
    <row r="14">
      <c r="A14" s="4" t="inlineStr">
        <is>
          <t>MSR100203</t>
        </is>
      </c>
      <c r="B14" s="4" t="inlineStr">
        <is>
          <t>GNMA</t>
        </is>
      </c>
      <c r="C14" s="4" t="inlineStr">
        <is>
          <t>FHA</t>
        </is>
      </c>
      <c r="D14" s="5" t="n">
        <v>46107</v>
      </c>
      <c r="E14" s="6" t="n">
        <v>440000</v>
      </c>
      <c r="F14" s="7" t="n">
        <v>348173.2</v>
      </c>
      <c r="G14" s="7" t="n">
        <v>349804.23</v>
      </c>
      <c r="H14" s="7" t="n">
        <v>1311.45</v>
      </c>
      <c r="I14" s="8" t="n">
        <v>319.58</v>
      </c>
      <c r="J14" s="9" t="n">
        <v>0.0452</v>
      </c>
      <c r="K14" s="4" t="inlineStr">
        <is>
          <t>Estate Payoff</t>
        </is>
      </c>
      <c r="L14" s="10" t="inlineStr">
        <is>
          <t>Removed from portfolio 03/26/2026</t>
        </is>
      </c>
    </row>
    <row r="15">
      <c r="A15" s="11" t="inlineStr">
        <is>
          <t>MSR100358</t>
        </is>
      </c>
      <c r="B15" s="11" t="inlineStr">
        <is>
          <t>FNMA</t>
        </is>
      </c>
      <c r="C15" s="11" t="inlineStr">
        <is>
          <t>FHA</t>
        </is>
      </c>
      <c r="D15" s="12" t="n">
        <v>46099</v>
      </c>
      <c r="E15" s="13" t="n">
        <v>335000</v>
      </c>
      <c r="F15" s="14" t="n">
        <v>282445.41</v>
      </c>
      <c r="G15" s="14" t="n">
        <v>283861.04</v>
      </c>
      <c r="H15" s="14" t="n">
        <v>1167.44</v>
      </c>
      <c r="I15" s="15" t="n">
        <v>248.19</v>
      </c>
      <c r="J15" s="16" t="n">
        <v>0.0496</v>
      </c>
      <c r="K15" s="11" t="inlineStr">
        <is>
          <t>Estate Payoff</t>
        </is>
      </c>
      <c r="L15" s="17" t="inlineStr">
        <is>
          <t>Removed from portfolio 03/18/2026</t>
        </is>
      </c>
    </row>
    <row r="16">
      <c r="A16" s="4" t="inlineStr">
        <is>
          <t>MSR200133</t>
        </is>
      </c>
      <c r="B16" s="4" t="inlineStr">
        <is>
          <t>FNMA</t>
        </is>
      </c>
      <c r="C16" s="4" t="inlineStr">
        <is>
          <t>Conventional</t>
        </is>
      </c>
      <c r="D16" s="5" t="n">
        <v>46105</v>
      </c>
      <c r="E16" s="6" t="n">
        <v>415000</v>
      </c>
      <c r="F16" s="7" t="n">
        <v>414321.7</v>
      </c>
      <c r="G16" s="7" t="n">
        <v>416769.13</v>
      </c>
      <c r="H16" s="7" t="n">
        <v>2427.23</v>
      </c>
      <c r="I16" s="8" t="n">
        <v>20.2</v>
      </c>
      <c r="J16" s="9" t="n">
        <v>0.0703</v>
      </c>
      <c r="K16" s="4" t="inlineStr">
        <is>
          <t>Full Payoff</t>
        </is>
      </c>
      <c r="L16" s="10" t="inlineStr">
        <is>
          <t>Removed from portfolio 03/24/2026</t>
        </is>
      </c>
    </row>
    <row r="17">
      <c r="A17" s="11" t="inlineStr">
        <is>
          <t>MSR200124</t>
        </is>
      </c>
      <c r="B17" s="11" t="inlineStr">
        <is>
          <t>FHLMC</t>
        </is>
      </c>
      <c r="C17" s="11" t="inlineStr">
        <is>
          <t>Conventional</t>
        </is>
      </c>
      <c r="D17" s="12" t="n">
        <v>46096</v>
      </c>
      <c r="E17" s="13" t="n">
        <v>385000</v>
      </c>
      <c r="F17" s="14" t="n">
        <v>384100.69</v>
      </c>
      <c r="G17" s="14" t="n">
        <v>386691.58</v>
      </c>
      <c r="H17" s="14" t="n">
        <v>2333.41</v>
      </c>
      <c r="I17" s="15" t="n">
        <v>257.48</v>
      </c>
      <c r="J17" s="16" t="n">
        <v>0.07290000000000001</v>
      </c>
      <c r="K17" s="11" t="inlineStr">
        <is>
          <t>Refinance Payoff</t>
        </is>
      </c>
      <c r="L17" s="17" t="inlineStr">
        <is>
          <t>Removed from portfolio 03/15/2026</t>
        </is>
      </c>
    </row>
    <row r="18">
      <c r="A18" s="18" t="inlineStr">
        <is>
          <t>TOTALS</t>
        </is>
      </c>
      <c r="B18" s="19" t="n"/>
      <c r="C18" s="19" t="n"/>
      <c r="D18" s="19" t="n"/>
      <c r="E18" s="20">
        <f>SUM(E4:E17)</f>
        <v/>
      </c>
      <c r="F18" s="20">
        <f>SUM(F4:F17)</f>
        <v/>
      </c>
      <c r="G18" s="20">
        <f>SUM(G4:G17)</f>
        <v/>
      </c>
      <c r="H18" s="20">
        <f>SUM(H4:H17)</f>
        <v/>
      </c>
      <c r="I18" s="20">
        <f>SUM(I4:I17)</f>
        <v/>
      </c>
      <c r="J18" s="19" t="n"/>
      <c r="K18" s="19" t="n"/>
      <c r="L18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2026-02-22T20:26:39Z</dcterms:created>
  <dcterms:modified xmlns:dcterms="http://purl.org/dc/terms/" xmlns:xsi="http://www.w3.org/2001/XMLSchema-instance" xsi:type="dcterms:W3CDTF">2026-02-22T20:26:39Z</dcterms:modified>
</cp:coreProperties>
</file>