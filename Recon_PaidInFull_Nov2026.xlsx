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d in 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C000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4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6" customWidth="1" min="5" max="5"/>
    <col width="16" customWidth="1" min="6" max="6"/>
    <col width="18" customWidth="1" min="7" max="7"/>
    <col width="14" customWidth="1" min="8" max="8"/>
    <col width="16" customWidth="1" min="9" max="9"/>
    <col width="11" customWidth="1" min="10" max="10"/>
    <col width="18" customWidth="1" min="11" max="11"/>
    <col width="30" customWidth="1" min="12" max="12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RECONCILIATION — PAID IN FULL  |  Nov 2026  |  41 Loans</t>
        </is>
      </c>
    </row>
    <row r="3" ht="28" customHeight="1">
      <c r="A3" s="3" t="inlineStr">
        <is>
          <t>Loan ID</t>
        </is>
      </c>
      <c r="B3" s="3" t="inlineStr">
        <is>
          <t>Investor</t>
        </is>
      </c>
      <c r="C3" s="3" t="inlineStr">
        <is>
          <t>Loan Type</t>
        </is>
      </c>
      <c r="D3" s="3" t="inlineStr">
        <is>
          <t>Payoff Date</t>
        </is>
      </c>
      <c r="E3" s="3" t="inlineStr">
        <is>
          <t>Orig Balance ($)</t>
        </is>
      </c>
      <c r="F3" s="3" t="inlineStr">
        <is>
          <t>Final UPB ($)</t>
        </is>
      </c>
      <c r="G3" s="3" t="inlineStr">
        <is>
          <t>Payoff Amount ($)</t>
        </is>
      </c>
      <c r="H3" s="3" t="inlineStr">
        <is>
          <t>Interest Due ($)</t>
        </is>
      </c>
      <c r="I3" s="3" t="inlineStr">
        <is>
          <t>Fees / Penalties ($)</t>
        </is>
      </c>
      <c r="J3" s="3" t="inlineStr">
        <is>
          <t>Rate</t>
        </is>
      </c>
      <c r="K3" s="3" t="inlineStr">
        <is>
          <t>Payoff Reason</t>
        </is>
      </c>
      <c r="L3" s="3" t="inlineStr">
        <is>
          <t>Notes</t>
        </is>
      </c>
    </row>
    <row r="4">
      <c r="A4" s="4" t="inlineStr">
        <is>
          <t>MSR203049</t>
        </is>
      </c>
      <c r="B4" s="4" t="inlineStr">
        <is>
          <t>GNMA</t>
        </is>
      </c>
      <c r="C4" s="4" t="inlineStr">
        <is>
          <t>VA</t>
        </is>
      </c>
      <c r="D4" s="5" t="n">
        <v>46337</v>
      </c>
      <c r="E4" s="6" t="n">
        <v>440000</v>
      </c>
      <c r="F4" s="7" t="n">
        <v>426367.52</v>
      </c>
      <c r="G4" s="7" t="n">
        <v>428702.75</v>
      </c>
      <c r="H4" s="7" t="n">
        <v>2213.56</v>
      </c>
      <c r="I4" s="8" t="n">
        <v>121.67</v>
      </c>
      <c r="J4" s="9" t="n">
        <v>0.0623</v>
      </c>
      <c r="K4" s="4" t="inlineStr">
        <is>
          <t>Sale Payoff</t>
        </is>
      </c>
      <c r="L4" s="10" t="inlineStr">
        <is>
          <t>Removed from portfolio 11/11/2026</t>
        </is>
      </c>
    </row>
    <row r="5">
      <c r="A5" s="11" t="inlineStr">
        <is>
          <t>MSR100523</t>
        </is>
      </c>
      <c r="B5" s="11" t="inlineStr">
        <is>
          <t>GNMA</t>
        </is>
      </c>
      <c r="C5" s="11" t="inlineStr">
        <is>
          <t>Conventional</t>
        </is>
      </c>
      <c r="D5" s="12" t="n">
        <v>46333</v>
      </c>
      <c r="E5" s="13" t="n">
        <v>300000</v>
      </c>
      <c r="F5" s="14" t="n">
        <v>289069.81</v>
      </c>
      <c r="G5" s="14" t="n">
        <v>291062.96</v>
      </c>
      <c r="H5" s="14" t="n">
        <v>1736.83</v>
      </c>
      <c r="I5" s="15" t="n">
        <v>256.32</v>
      </c>
      <c r="J5" s="16" t="n">
        <v>0.0721</v>
      </c>
      <c r="K5" s="11" t="inlineStr">
        <is>
          <t>Full Payoff</t>
        </is>
      </c>
      <c r="L5" s="17" t="inlineStr">
        <is>
          <t>Removed from portfolio 11/07/2026</t>
        </is>
      </c>
    </row>
    <row r="6">
      <c r="A6" s="4" t="inlineStr">
        <is>
          <t>MSR208110</t>
        </is>
      </c>
      <c r="B6" s="4" t="inlineStr">
        <is>
          <t>GNMA</t>
        </is>
      </c>
      <c r="C6" s="4" t="inlineStr">
        <is>
          <t>USDA</t>
        </is>
      </c>
      <c r="D6" s="5" t="n">
        <v>46333</v>
      </c>
      <c r="E6" s="6" t="n">
        <v>495000</v>
      </c>
      <c r="F6" s="7" t="n">
        <v>493128.23</v>
      </c>
      <c r="G6" s="7" t="n">
        <v>495798.67</v>
      </c>
      <c r="H6" s="7" t="n">
        <v>2593.03</v>
      </c>
      <c r="I6" s="8" t="n">
        <v>77.41</v>
      </c>
      <c r="J6" s="9" t="n">
        <v>0.0631</v>
      </c>
      <c r="K6" s="4" t="inlineStr">
        <is>
          <t>Refinance Payoff</t>
        </is>
      </c>
      <c r="L6" s="10" t="inlineStr">
        <is>
          <t>Removed from portfolio 11/07/2026</t>
        </is>
      </c>
    </row>
    <row r="7">
      <c r="A7" s="11" t="inlineStr">
        <is>
          <t>MSR203099</t>
        </is>
      </c>
      <c r="B7" s="11" t="inlineStr">
        <is>
          <t>GNMA</t>
        </is>
      </c>
      <c r="C7" s="11" t="inlineStr">
        <is>
          <t>FHA</t>
        </is>
      </c>
      <c r="D7" s="12" t="n">
        <v>46353</v>
      </c>
      <c r="E7" s="13" t="n">
        <v>410000</v>
      </c>
      <c r="F7" s="14" t="n">
        <v>406390.96</v>
      </c>
      <c r="G7" s="14" t="n">
        <v>408817.62</v>
      </c>
      <c r="H7" s="14" t="n">
        <v>2099.69</v>
      </c>
      <c r="I7" s="15" t="n">
        <v>326.97</v>
      </c>
      <c r="J7" s="16" t="n">
        <v>0.062</v>
      </c>
      <c r="K7" s="11" t="inlineStr">
        <is>
          <t>Refinance Payoff</t>
        </is>
      </c>
      <c r="L7" s="17" t="inlineStr">
        <is>
          <t>Removed from portfolio 11/27/2026</t>
        </is>
      </c>
    </row>
    <row r="8">
      <c r="A8" s="4" t="inlineStr">
        <is>
          <t>MSR100828</t>
        </is>
      </c>
      <c r="B8" s="4" t="inlineStr">
        <is>
          <t>FHLMC</t>
        </is>
      </c>
      <c r="C8" s="4" t="inlineStr">
        <is>
          <t>Conventional</t>
        </is>
      </c>
      <c r="D8" s="5" t="n">
        <v>46329</v>
      </c>
      <c r="E8" s="6" t="n">
        <v>370000</v>
      </c>
      <c r="F8" s="7" t="n">
        <v>346880.8</v>
      </c>
      <c r="G8" s="7" t="n">
        <v>348509.92</v>
      </c>
      <c r="H8" s="7" t="n">
        <v>1558.07</v>
      </c>
      <c r="I8" s="8" t="n">
        <v>71.05</v>
      </c>
      <c r="J8" s="9" t="n">
        <v>0.0539</v>
      </c>
      <c r="K8" s="4" t="inlineStr">
        <is>
          <t>Refinance Payoff</t>
        </is>
      </c>
      <c r="L8" s="10" t="inlineStr">
        <is>
          <t>Removed from portfolio 11/03/2026</t>
        </is>
      </c>
    </row>
    <row r="9">
      <c r="A9" s="11" t="inlineStr">
        <is>
          <t>MSR210002</t>
        </is>
      </c>
      <c r="B9" s="11" t="inlineStr">
        <is>
          <t>FNMA</t>
        </is>
      </c>
      <c r="C9" s="11" t="inlineStr">
        <is>
          <t>Conventional</t>
        </is>
      </c>
      <c r="D9" s="12" t="n">
        <v>46337</v>
      </c>
      <c r="E9" s="13" t="n">
        <v>390000</v>
      </c>
      <c r="F9" s="14" t="n">
        <v>389579.51</v>
      </c>
      <c r="G9" s="14" t="n">
        <v>391646.72</v>
      </c>
      <c r="H9" s="14" t="n">
        <v>1811.54</v>
      </c>
      <c r="I9" s="15" t="n">
        <v>255.67</v>
      </c>
      <c r="J9" s="16" t="n">
        <v>0.0558</v>
      </c>
      <c r="K9" s="11" t="inlineStr">
        <is>
          <t>Full Payoff</t>
        </is>
      </c>
      <c r="L9" s="17" t="inlineStr">
        <is>
          <t>Removed from portfolio 11/11/2026</t>
        </is>
      </c>
    </row>
    <row r="10">
      <c r="A10" s="4" t="inlineStr">
        <is>
          <t>MSR200060</t>
        </is>
      </c>
      <c r="B10" s="4" t="inlineStr">
        <is>
          <t>FNMA</t>
        </is>
      </c>
      <c r="C10" s="4" t="inlineStr">
        <is>
          <t>FHA</t>
        </is>
      </c>
      <c r="D10" s="5" t="n">
        <v>46329</v>
      </c>
      <c r="E10" s="6" t="n">
        <v>315000</v>
      </c>
      <c r="F10" s="7" t="n">
        <v>306128.29</v>
      </c>
      <c r="G10" s="7" t="n">
        <v>307762.81</v>
      </c>
      <c r="H10" s="7" t="n">
        <v>1538.29</v>
      </c>
      <c r="I10" s="8" t="n">
        <v>96.23</v>
      </c>
      <c r="J10" s="9" t="n">
        <v>0.0603</v>
      </c>
      <c r="K10" s="4" t="inlineStr">
        <is>
          <t>Full Payoff</t>
        </is>
      </c>
      <c r="L10" s="10" t="inlineStr">
        <is>
          <t>Removed from portfolio 11/03/2026</t>
        </is>
      </c>
    </row>
    <row r="11">
      <c r="A11" s="11" t="inlineStr">
        <is>
          <t>MSR100758</t>
        </is>
      </c>
      <c r="B11" s="11" t="inlineStr">
        <is>
          <t>FNMA</t>
        </is>
      </c>
      <c r="C11" s="11" t="inlineStr">
        <is>
          <t>FHA</t>
        </is>
      </c>
      <c r="D11" s="12" t="n">
        <v>46350</v>
      </c>
      <c r="E11" s="13" t="n">
        <v>325000</v>
      </c>
      <c r="F11" s="14" t="n">
        <v>303988.78</v>
      </c>
      <c r="G11" s="14" t="n">
        <v>305539.45</v>
      </c>
      <c r="H11" s="14" t="n">
        <v>1243.82</v>
      </c>
      <c r="I11" s="15" t="n">
        <v>306.85</v>
      </c>
      <c r="J11" s="16" t="n">
        <v>0.0491</v>
      </c>
      <c r="K11" s="11" t="inlineStr">
        <is>
          <t>Full Payoff</t>
        </is>
      </c>
      <c r="L11" s="17" t="inlineStr">
        <is>
          <t>Removed from portfolio 11/24/2026</t>
        </is>
      </c>
    </row>
    <row r="12">
      <c r="A12" s="4" t="inlineStr">
        <is>
          <t>MSR205153</t>
        </is>
      </c>
      <c r="B12" s="4" t="inlineStr">
        <is>
          <t>GNMA</t>
        </is>
      </c>
      <c r="C12" s="4" t="inlineStr">
        <is>
          <t>Conventional</t>
        </is>
      </c>
      <c r="D12" s="5" t="n">
        <v>46332</v>
      </c>
      <c r="E12" s="6" t="n">
        <v>425000</v>
      </c>
      <c r="F12" s="7" t="n">
        <v>406907.26</v>
      </c>
      <c r="G12" s="7" t="n">
        <v>409349.86</v>
      </c>
      <c r="H12" s="7" t="n">
        <v>2126.09</v>
      </c>
      <c r="I12" s="8" t="n">
        <v>316.51</v>
      </c>
      <c r="J12" s="9" t="n">
        <v>0.06270000000000001</v>
      </c>
      <c r="K12" s="4" t="inlineStr">
        <is>
          <t>Sale Payoff</t>
        </is>
      </c>
      <c r="L12" s="10" t="inlineStr">
        <is>
          <t>Removed from portfolio 11/06/2026</t>
        </is>
      </c>
    </row>
    <row r="13">
      <c r="A13" s="11" t="inlineStr">
        <is>
          <t>MSR202117</t>
        </is>
      </c>
      <c r="B13" s="11" t="inlineStr">
        <is>
          <t>GNMA</t>
        </is>
      </c>
      <c r="C13" s="11" t="inlineStr">
        <is>
          <t>Conventional</t>
        </is>
      </c>
      <c r="D13" s="12" t="n">
        <v>46332</v>
      </c>
      <c r="E13" s="13" t="n">
        <v>340000</v>
      </c>
      <c r="F13" s="14" t="n">
        <v>336903.75</v>
      </c>
      <c r="G13" s="14" t="n">
        <v>338716.22</v>
      </c>
      <c r="H13" s="14" t="n">
        <v>1690.13</v>
      </c>
      <c r="I13" s="15" t="n">
        <v>122.34</v>
      </c>
      <c r="J13" s="16" t="n">
        <v>0.0602</v>
      </c>
      <c r="K13" s="11" t="inlineStr">
        <is>
          <t>Estate Payoff</t>
        </is>
      </c>
      <c r="L13" s="17" t="inlineStr">
        <is>
          <t>Removed from portfolio 11/06/2026</t>
        </is>
      </c>
    </row>
    <row r="14">
      <c r="A14" s="4" t="inlineStr">
        <is>
          <t>MSR203169</t>
        </is>
      </c>
      <c r="B14" s="4" t="inlineStr">
        <is>
          <t>GNMA</t>
        </is>
      </c>
      <c r="C14" s="4" t="inlineStr">
        <is>
          <t>VA</t>
        </is>
      </c>
      <c r="D14" s="5" t="n">
        <v>46334</v>
      </c>
      <c r="E14" s="6" t="n">
        <v>430000</v>
      </c>
      <c r="F14" s="7" t="n">
        <v>416523.22</v>
      </c>
      <c r="G14" s="7" t="n">
        <v>418791.84</v>
      </c>
      <c r="H14" s="7" t="n">
        <v>2113.86</v>
      </c>
      <c r="I14" s="8" t="n">
        <v>154.76</v>
      </c>
      <c r="J14" s="9" t="n">
        <v>0.0609</v>
      </c>
      <c r="K14" s="4" t="inlineStr">
        <is>
          <t>Sale Payoff</t>
        </is>
      </c>
      <c r="L14" s="10" t="inlineStr">
        <is>
          <t>Removed from portfolio 11/08/2026</t>
        </is>
      </c>
    </row>
    <row r="15">
      <c r="A15" s="11" t="inlineStr">
        <is>
          <t>MSR206159</t>
        </is>
      </c>
      <c r="B15" s="11" t="inlineStr">
        <is>
          <t>GNMA</t>
        </is>
      </c>
      <c r="C15" s="11" t="inlineStr">
        <is>
          <t>FHA</t>
        </is>
      </c>
      <c r="D15" s="12" t="n">
        <v>46331</v>
      </c>
      <c r="E15" s="13" t="n">
        <v>365000</v>
      </c>
      <c r="F15" s="14" t="n">
        <v>363283.42</v>
      </c>
      <c r="G15" s="14" t="n">
        <v>365505.84</v>
      </c>
      <c r="H15" s="14" t="n">
        <v>1922.37</v>
      </c>
      <c r="I15" s="15" t="n">
        <v>300.05</v>
      </c>
      <c r="J15" s="16" t="n">
        <v>0.0635</v>
      </c>
      <c r="K15" s="11" t="inlineStr">
        <is>
          <t>Estate Payoff</t>
        </is>
      </c>
      <c r="L15" s="17" t="inlineStr">
        <is>
          <t>Removed from portfolio 11/05/2026</t>
        </is>
      </c>
    </row>
    <row r="16">
      <c r="A16" s="4" t="inlineStr">
        <is>
          <t>MSR100219</t>
        </is>
      </c>
      <c r="B16" s="4" t="inlineStr">
        <is>
          <t>GNMA</t>
        </is>
      </c>
      <c r="C16" s="4" t="inlineStr">
        <is>
          <t>Conventional</t>
        </is>
      </c>
      <c r="D16" s="5" t="n">
        <v>46334</v>
      </c>
      <c r="E16" s="6" t="n">
        <v>405000</v>
      </c>
      <c r="F16" s="7" t="n">
        <v>366260.73</v>
      </c>
      <c r="G16" s="7" t="n">
        <v>368726.23</v>
      </c>
      <c r="H16" s="7" t="n">
        <v>2402.06</v>
      </c>
      <c r="I16" s="8" t="n">
        <v>63.44</v>
      </c>
      <c r="J16" s="9" t="n">
        <v>0.07870000000000001</v>
      </c>
      <c r="K16" s="4" t="inlineStr">
        <is>
          <t>Refinance Payoff</t>
        </is>
      </c>
      <c r="L16" s="10" t="inlineStr">
        <is>
          <t>Removed from portfolio 11/08/2026</t>
        </is>
      </c>
    </row>
    <row r="17">
      <c r="A17" s="11" t="inlineStr">
        <is>
          <t>MSR100315</t>
        </is>
      </c>
      <c r="B17" s="11" t="inlineStr">
        <is>
          <t>FNMA</t>
        </is>
      </c>
      <c r="C17" s="11" t="inlineStr">
        <is>
          <t>Conventional</t>
        </is>
      </c>
      <c r="D17" s="12" t="n">
        <v>46332</v>
      </c>
      <c r="E17" s="13" t="n">
        <v>295000</v>
      </c>
      <c r="F17" s="14" t="n">
        <v>245328.67</v>
      </c>
      <c r="G17" s="14" t="n">
        <v>246494.44</v>
      </c>
      <c r="H17" s="14" t="n">
        <v>1011.98</v>
      </c>
      <c r="I17" s="15" t="n">
        <v>153.79</v>
      </c>
      <c r="J17" s="16" t="n">
        <v>0.0495</v>
      </c>
      <c r="K17" s="11" t="inlineStr">
        <is>
          <t>Sale Payoff</t>
        </is>
      </c>
      <c r="L17" s="17" t="inlineStr">
        <is>
          <t>Removed from portfolio 11/06/2026</t>
        </is>
      </c>
    </row>
    <row r="18">
      <c r="A18" s="4" t="inlineStr">
        <is>
          <t>MSR206232</t>
        </is>
      </c>
      <c r="B18" s="4" t="inlineStr">
        <is>
          <t>FHLMC</t>
        </is>
      </c>
      <c r="C18" s="4" t="inlineStr">
        <is>
          <t>Conventional</t>
        </is>
      </c>
      <c r="D18" s="5" t="n">
        <v>46353</v>
      </c>
      <c r="E18" s="6" t="n">
        <v>460000</v>
      </c>
      <c r="F18" s="7" t="n">
        <v>456960.99</v>
      </c>
      <c r="G18" s="7" t="n">
        <v>459722.78</v>
      </c>
      <c r="H18" s="7" t="n">
        <v>2421.89</v>
      </c>
      <c r="I18" s="8" t="n">
        <v>339.9</v>
      </c>
      <c r="J18" s="9" t="n">
        <v>0.0636</v>
      </c>
      <c r="K18" s="4" t="inlineStr">
        <is>
          <t>Full Payoff</t>
        </is>
      </c>
      <c r="L18" s="10" t="inlineStr">
        <is>
          <t>Removed from portfolio 11/27/2026</t>
        </is>
      </c>
    </row>
    <row r="19">
      <c r="A19" s="11" t="inlineStr">
        <is>
          <t>MSR206139</t>
        </is>
      </c>
      <c r="B19" s="11" t="inlineStr">
        <is>
          <t>FNMA</t>
        </is>
      </c>
      <c r="C19" s="11" t="inlineStr">
        <is>
          <t>Conventional</t>
        </is>
      </c>
      <c r="D19" s="12" t="n">
        <v>46340</v>
      </c>
      <c r="E19" s="13" t="n">
        <v>265000</v>
      </c>
      <c r="F19" s="14" t="n">
        <v>263715</v>
      </c>
      <c r="G19" s="14" t="n">
        <v>265237.38</v>
      </c>
      <c r="H19" s="14" t="n">
        <v>1360.33</v>
      </c>
      <c r="I19" s="15" t="n">
        <v>162.05</v>
      </c>
      <c r="J19" s="16" t="n">
        <v>0.0619</v>
      </c>
      <c r="K19" s="11" t="inlineStr">
        <is>
          <t>Full Payoff</t>
        </is>
      </c>
      <c r="L19" s="17" t="inlineStr">
        <is>
          <t>Removed from portfolio 11/14/2026</t>
        </is>
      </c>
    </row>
    <row r="20">
      <c r="A20" s="4" t="inlineStr">
        <is>
          <t>MSR200179</t>
        </is>
      </c>
      <c r="B20" s="4" t="inlineStr">
        <is>
          <t>FNMA</t>
        </is>
      </c>
      <c r="C20" s="4" t="inlineStr">
        <is>
          <t>Conventional</t>
        </is>
      </c>
      <c r="D20" s="5" t="n">
        <v>46346</v>
      </c>
      <c r="E20" s="6" t="n">
        <v>280000</v>
      </c>
      <c r="F20" s="7" t="n">
        <v>274171.49</v>
      </c>
      <c r="G20" s="7" t="n">
        <v>276081.98</v>
      </c>
      <c r="H20" s="7" t="n">
        <v>1683.87</v>
      </c>
      <c r="I20" s="8" t="n">
        <v>226.62</v>
      </c>
      <c r="J20" s="9" t="n">
        <v>0.0737</v>
      </c>
      <c r="K20" s="4" t="inlineStr">
        <is>
          <t>Estate Payoff</t>
        </is>
      </c>
      <c r="L20" s="10" t="inlineStr">
        <is>
          <t>Removed from portfolio 11/20/2026</t>
        </is>
      </c>
    </row>
    <row r="21">
      <c r="A21" s="11" t="inlineStr">
        <is>
          <t>MSR200077</t>
        </is>
      </c>
      <c r="B21" s="11" t="inlineStr">
        <is>
          <t>FNMA</t>
        </is>
      </c>
      <c r="C21" s="11" t="inlineStr">
        <is>
          <t>Conventional</t>
        </is>
      </c>
      <c r="D21" s="12" t="n">
        <v>46346</v>
      </c>
      <c r="E21" s="13" t="n">
        <v>395000</v>
      </c>
      <c r="F21" s="14" t="n">
        <v>391339.78</v>
      </c>
      <c r="G21" s="14" t="n">
        <v>393800.08</v>
      </c>
      <c r="H21" s="14" t="n">
        <v>2286.08</v>
      </c>
      <c r="I21" s="15" t="n">
        <v>174.22</v>
      </c>
      <c r="J21" s="16" t="n">
        <v>0.0701</v>
      </c>
      <c r="K21" s="11" t="inlineStr">
        <is>
          <t>Full Payoff</t>
        </is>
      </c>
      <c r="L21" s="17" t="inlineStr">
        <is>
          <t>Removed from portfolio 11/20/2026</t>
        </is>
      </c>
    </row>
    <row r="22">
      <c r="A22" s="4" t="inlineStr">
        <is>
          <t>MSR207076</t>
        </is>
      </c>
      <c r="B22" s="4" t="inlineStr">
        <is>
          <t>FHLMC</t>
        </is>
      </c>
      <c r="C22" s="4" t="inlineStr">
        <is>
          <t>FHA</t>
        </is>
      </c>
      <c r="D22" s="5" t="n">
        <v>46335</v>
      </c>
      <c r="E22" s="6" t="n">
        <v>425000</v>
      </c>
      <c r="F22" s="7" t="n">
        <v>419252.56</v>
      </c>
      <c r="G22" s="7" t="n">
        <v>421610.03</v>
      </c>
      <c r="H22" s="7" t="n">
        <v>2197.58</v>
      </c>
      <c r="I22" s="8" t="n">
        <v>159.89</v>
      </c>
      <c r="J22" s="9" t="n">
        <v>0.0629</v>
      </c>
      <c r="K22" s="4" t="inlineStr">
        <is>
          <t>Refinance Payoff</t>
        </is>
      </c>
      <c r="L22" s="10" t="inlineStr">
        <is>
          <t>Removed from portfolio 11/09/2026</t>
        </is>
      </c>
    </row>
    <row r="23">
      <c r="A23" s="11" t="inlineStr">
        <is>
          <t>MSR210186</t>
        </is>
      </c>
      <c r="B23" s="11" t="inlineStr">
        <is>
          <t>FNMA</t>
        </is>
      </c>
      <c r="C23" s="11" t="inlineStr">
        <is>
          <t>Conventional</t>
        </is>
      </c>
      <c r="D23" s="12" t="n">
        <v>46343</v>
      </c>
      <c r="E23" s="13" t="n">
        <v>440000</v>
      </c>
      <c r="F23" s="14" t="n">
        <v>439519.3</v>
      </c>
      <c r="G23" s="14" t="n">
        <v>441808.78</v>
      </c>
      <c r="H23" s="14" t="n">
        <v>2018.13</v>
      </c>
      <c r="I23" s="15" t="n">
        <v>271.35</v>
      </c>
      <c r="J23" s="16" t="n">
        <v>0.0551</v>
      </c>
      <c r="K23" s="11" t="inlineStr">
        <is>
          <t>Estate Payoff</t>
        </is>
      </c>
      <c r="L23" s="17" t="inlineStr">
        <is>
          <t>Removed from portfolio 11/17/2026</t>
        </is>
      </c>
    </row>
    <row r="24">
      <c r="A24" s="4" t="inlineStr">
        <is>
          <t>MSR100177</t>
        </is>
      </c>
      <c r="B24" s="4" t="inlineStr">
        <is>
          <t>GNMA</t>
        </is>
      </c>
      <c r="C24" s="4" t="inlineStr">
        <is>
          <t>Conventional</t>
        </is>
      </c>
      <c r="D24" s="5" t="n">
        <v>46353</v>
      </c>
      <c r="E24" s="6" t="n">
        <v>330000</v>
      </c>
      <c r="F24" s="7" t="n">
        <v>237190.85</v>
      </c>
      <c r="G24" s="7" t="n">
        <v>238118.4</v>
      </c>
      <c r="H24" s="7" t="n">
        <v>638.4400000000001</v>
      </c>
      <c r="I24" s="8" t="n">
        <v>289.11</v>
      </c>
      <c r="J24" s="9" t="n">
        <v>0.0323</v>
      </c>
      <c r="K24" s="4" t="inlineStr">
        <is>
          <t>Full Payoff</t>
        </is>
      </c>
      <c r="L24" s="10" t="inlineStr">
        <is>
          <t>Removed from portfolio 11/27/2026</t>
        </is>
      </c>
    </row>
    <row r="25">
      <c r="A25" s="11" t="inlineStr">
        <is>
          <t>MSR100319</t>
        </is>
      </c>
      <c r="B25" s="11" t="inlineStr">
        <is>
          <t>FHLMC</t>
        </is>
      </c>
      <c r="C25" s="11" t="inlineStr">
        <is>
          <t>Conventional</t>
        </is>
      </c>
      <c r="D25" s="12" t="n">
        <v>46344</v>
      </c>
      <c r="E25" s="13" t="n">
        <v>385000</v>
      </c>
      <c r="F25" s="14" t="n">
        <v>338023.62</v>
      </c>
      <c r="G25" s="14" t="n">
        <v>339216.34</v>
      </c>
      <c r="H25" s="14" t="n">
        <v>923.9299999999999</v>
      </c>
      <c r="I25" s="15" t="n">
        <v>268.79</v>
      </c>
      <c r="J25" s="16" t="n">
        <v>0.0328</v>
      </c>
      <c r="K25" s="11" t="inlineStr">
        <is>
          <t>Refinance Payoff</t>
        </is>
      </c>
      <c r="L25" s="17" t="inlineStr">
        <is>
          <t>Removed from portfolio 11/18/2026</t>
        </is>
      </c>
    </row>
    <row r="26">
      <c r="A26" s="4" t="inlineStr">
        <is>
          <t>MSR100224</t>
        </is>
      </c>
      <c r="B26" s="4" t="inlineStr">
        <is>
          <t>FNMA</t>
        </is>
      </c>
      <c r="C26" s="4" t="inlineStr">
        <is>
          <t>VA</t>
        </is>
      </c>
      <c r="D26" s="5" t="n">
        <v>46328</v>
      </c>
      <c r="E26" s="6" t="n">
        <v>270000</v>
      </c>
      <c r="F26" s="7" t="n">
        <v>236190.68</v>
      </c>
      <c r="G26" s="7" t="n">
        <v>237052.15</v>
      </c>
      <c r="H26" s="7" t="n">
        <v>610.16</v>
      </c>
      <c r="I26" s="8" t="n">
        <v>251.31</v>
      </c>
      <c r="J26" s="9" t="n">
        <v>0.031</v>
      </c>
      <c r="K26" s="4" t="inlineStr">
        <is>
          <t>Sale Payoff</t>
        </is>
      </c>
      <c r="L26" s="10" t="inlineStr">
        <is>
          <t>Removed from portfolio 11/02/2026</t>
        </is>
      </c>
    </row>
    <row r="27">
      <c r="A27" s="11" t="inlineStr">
        <is>
          <t>MSR206022</t>
        </is>
      </c>
      <c r="B27" s="11" t="inlineStr">
        <is>
          <t>GNMA</t>
        </is>
      </c>
      <c r="C27" s="11" t="inlineStr">
        <is>
          <t>Conventional</t>
        </is>
      </c>
      <c r="D27" s="12" t="n">
        <v>46346</v>
      </c>
      <c r="E27" s="13" t="n">
        <v>445000</v>
      </c>
      <c r="F27" s="14" t="n">
        <v>442491.55</v>
      </c>
      <c r="G27" s="14" t="n">
        <v>444931.56</v>
      </c>
      <c r="H27" s="14" t="n">
        <v>2348.89</v>
      </c>
      <c r="I27" s="15" t="n">
        <v>91.12</v>
      </c>
      <c r="J27" s="16" t="n">
        <v>0.06370000000000001</v>
      </c>
      <c r="K27" s="11" t="inlineStr">
        <is>
          <t>Refinance Payoff</t>
        </is>
      </c>
      <c r="L27" s="17" t="inlineStr">
        <is>
          <t>Removed from portfolio 11/20/2026</t>
        </is>
      </c>
    </row>
    <row r="28">
      <c r="A28" s="4" t="inlineStr">
        <is>
          <t>MSR204168</t>
        </is>
      </c>
      <c r="B28" s="4" t="inlineStr">
        <is>
          <t>FNMA</t>
        </is>
      </c>
      <c r="C28" s="4" t="inlineStr">
        <is>
          <t>FHA</t>
        </is>
      </c>
      <c r="D28" s="5" t="n">
        <v>46342</v>
      </c>
      <c r="E28" s="6" t="n">
        <v>500000</v>
      </c>
      <c r="F28" s="7" t="n">
        <v>496562.03</v>
      </c>
      <c r="G28" s="7" t="n">
        <v>499430.01</v>
      </c>
      <c r="H28" s="7" t="n">
        <v>2544.88</v>
      </c>
      <c r="I28" s="8" t="n">
        <v>323.1</v>
      </c>
      <c r="J28" s="9" t="n">
        <v>0.0615</v>
      </c>
      <c r="K28" s="4" t="inlineStr">
        <is>
          <t>Full Payoff</t>
        </is>
      </c>
      <c r="L28" s="10" t="inlineStr">
        <is>
          <t>Removed from portfolio 11/16/2026</t>
        </is>
      </c>
    </row>
    <row r="29">
      <c r="A29" s="11" t="inlineStr">
        <is>
          <t>MSR100904</t>
        </is>
      </c>
      <c r="B29" s="11" t="inlineStr">
        <is>
          <t>FHLMC</t>
        </is>
      </c>
      <c r="C29" s="11" t="inlineStr">
        <is>
          <t>VA</t>
        </is>
      </c>
      <c r="D29" s="12" t="n">
        <v>46336</v>
      </c>
      <c r="E29" s="13" t="n">
        <v>260000</v>
      </c>
      <c r="F29" s="14" t="n">
        <v>78040.14</v>
      </c>
      <c r="G29" s="14" t="n">
        <v>78649.23</v>
      </c>
      <c r="H29" s="14" t="n">
        <v>278.99</v>
      </c>
      <c r="I29" s="15" t="n">
        <v>330.1</v>
      </c>
      <c r="J29" s="16" t="n">
        <v>0.0429</v>
      </c>
      <c r="K29" s="11" t="inlineStr">
        <is>
          <t>Full Payoff</t>
        </is>
      </c>
      <c r="L29" s="17" t="inlineStr">
        <is>
          <t>Removed from portfolio 11/10/2026</t>
        </is>
      </c>
    </row>
    <row r="30">
      <c r="A30" s="4" t="inlineStr">
        <is>
          <t>MSR205148</t>
        </is>
      </c>
      <c r="B30" s="4" t="inlineStr">
        <is>
          <t>FNMA</t>
        </is>
      </c>
      <c r="C30" s="4" t="inlineStr">
        <is>
          <t>Conventional</t>
        </is>
      </c>
      <c r="D30" s="5" t="n">
        <v>46343</v>
      </c>
      <c r="E30" s="6" t="n">
        <v>465000</v>
      </c>
      <c r="F30" s="7" t="n">
        <v>457031.23</v>
      </c>
      <c r="G30" s="7" t="n">
        <v>459459.93</v>
      </c>
      <c r="H30" s="7" t="n">
        <v>2376.56</v>
      </c>
      <c r="I30" s="8" t="n">
        <v>52.14</v>
      </c>
      <c r="J30" s="9" t="n">
        <v>0.0624</v>
      </c>
      <c r="K30" s="4" t="inlineStr">
        <is>
          <t>Full Payoff</t>
        </is>
      </c>
      <c r="L30" s="10" t="inlineStr">
        <is>
          <t>Removed from portfolio 11/17/2026</t>
        </is>
      </c>
    </row>
    <row r="31">
      <c r="A31" s="11" t="inlineStr">
        <is>
          <t>MSR100211</t>
        </is>
      </c>
      <c r="B31" s="11" t="inlineStr">
        <is>
          <t>GNMA</t>
        </is>
      </c>
      <c r="C31" s="11" t="inlineStr">
        <is>
          <t>VA</t>
        </is>
      </c>
      <c r="D31" s="12" t="n">
        <v>46332</v>
      </c>
      <c r="E31" s="13" t="n">
        <v>435000</v>
      </c>
      <c r="F31" s="14" t="n">
        <v>419633.51</v>
      </c>
      <c r="G31" s="14" t="n">
        <v>422370.34</v>
      </c>
      <c r="H31" s="14" t="n">
        <v>2580.75</v>
      </c>
      <c r="I31" s="15" t="n">
        <v>156.08</v>
      </c>
      <c r="J31" s="16" t="n">
        <v>0.0738</v>
      </c>
      <c r="K31" s="11" t="inlineStr">
        <is>
          <t>Refinance Payoff</t>
        </is>
      </c>
      <c r="L31" s="17" t="inlineStr">
        <is>
          <t>Removed from portfolio 11/06/2026</t>
        </is>
      </c>
    </row>
    <row r="32">
      <c r="A32" s="4" t="inlineStr">
        <is>
          <t>MSR204100</t>
        </is>
      </c>
      <c r="B32" s="4" t="inlineStr">
        <is>
          <t>FHLMC</t>
        </is>
      </c>
      <c r="C32" s="4" t="inlineStr">
        <is>
          <t>Conventional</t>
        </is>
      </c>
      <c r="D32" s="5" t="n">
        <v>46346</v>
      </c>
      <c r="E32" s="6" t="n">
        <v>315000</v>
      </c>
      <c r="F32" s="7" t="n">
        <v>312592.49</v>
      </c>
      <c r="G32" s="7" t="n">
        <v>314564.15</v>
      </c>
      <c r="H32" s="7" t="n">
        <v>1643.72</v>
      </c>
      <c r="I32" s="8" t="n">
        <v>327.94</v>
      </c>
      <c r="J32" s="9" t="n">
        <v>0.0631</v>
      </c>
      <c r="K32" s="4" t="inlineStr">
        <is>
          <t>Full Payoff</t>
        </is>
      </c>
      <c r="L32" s="10" t="inlineStr">
        <is>
          <t>Removed from portfolio 11/20/2026</t>
        </is>
      </c>
    </row>
    <row r="33">
      <c r="A33" s="11" t="inlineStr">
        <is>
          <t>MSR203031</t>
        </is>
      </c>
      <c r="B33" s="11" t="inlineStr">
        <is>
          <t>GNMA</t>
        </is>
      </c>
      <c r="C33" s="11" t="inlineStr">
        <is>
          <t>Conventional</t>
        </is>
      </c>
      <c r="D33" s="12" t="n">
        <v>46334</v>
      </c>
      <c r="E33" s="13" t="n">
        <v>445000</v>
      </c>
      <c r="F33" s="14" t="n">
        <v>431426.94</v>
      </c>
      <c r="G33" s="14" t="n">
        <v>433893.26</v>
      </c>
      <c r="H33" s="14" t="n">
        <v>2308.13</v>
      </c>
      <c r="I33" s="15" t="n">
        <v>158.19</v>
      </c>
      <c r="J33" s="16" t="n">
        <v>0.06419999999999999</v>
      </c>
      <c r="K33" s="11" t="inlineStr">
        <is>
          <t>Full Payoff</t>
        </is>
      </c>
      <c r="L33" s="17" t="inlineStr">
        <is>
          <t>Removed from portfolio 11/08/2026</t>
        </is>
      </c>
    </row>
    <row r="34">
      <c r="A34" s="4" t="inlineStr">
        <is>
          <t>MSR208179</t>
        </is>
      </c>
      <c r="B34" s="4" t="inlineStr">
        <is>
          <t>GNMA</t>
        </is>
      </c>
      <c r="C34" s="4" t="inlineStr">
        <is>
          <t>VA</t>
        </is>
      </c>
      <c r="D34" s="5" t="n">
        <v>46329</v>
      </c>
      <c r="E34" s="6" t="n">
        <v>480000</v>
      </c>
      <c r="F34" s="7" t="n">
        <v>478629.16</v>
      </c>
      <c r="G34" s="7" t="n">
        <v>481220.3</v>
      </c>
      <c r="H34" s="7" t="n">
        <v>2496.85</v>
      </c>
      <c r="I34" s="8" t="n">
        <v>94.29000000000001</v>
      </c>
      <c r="J34" s="9" t="n">
        <v>0.0626</v>
      </c>
      <c r="K34" s="4" t="inlineStr">
        <is>
          <t>Refinance Payoff</t>
        </is>
      </c>
      <c r="L34" s="10" t="inlineStr">
        <is>
          <t>Removed from portfolio 11/03/2026</t>
        </is>
      </c>
    </row>
    <row r="35">
      <c r="A35" s="11" t="inlineStr">
        <is>
          <t>MSR207073</t>
        </is>
      </c>
      <c r="B35" s="11" t="inlineStr">
        <is>
          <t>Portfolio</t>
        </is>
      </c>
      <c r="C35" s="11" t="inlineStr">
        <is>
          <t>Conventional</t>
        </is>
      </c>
      <c r="D35" s="12" t="n">
        <v>46332</v>
      </c>
      <c r="E35" s="13" t="n">
        <v>265000</v>
      </c>
      <c r="F35" s="14" t="n">
        <v>263727.19</v>
      </c>
      <c r="G35" s="14" t="n">
        <v>265099.11</v>
      </c>
      <c r="H35" s="14" t="n">
        <v>1371.38</v>
      </c>
      <c r="I35" s="15" t="n">
        <v>0.54</v>
      </c>
      <c r="J35" s="16" t="n">
        <v>0.0624</v>
      </c>
      <c r="K35" s="11" t="inlineStr">
        <is>
          <t>Sale Payoff</t>
        </is>
      </c>
      <c r="L35" s="17" t="inlineStr">
        <is>
          <t>Removed from portfolio 11/06/2026</t>
        </is>
      </c>
    </row>
    <row r="36">
      <c r="A36" s="4" t="inlineStr">
        <is>
          <t>MSR100392</t>
        </is>
      </c>
      <c r="B36" s="4" t="inlineStr">
        <is>
          <t>FHLMC</t>
        </is>
      </c>
      <c r="C36" s="4" t="inlineStr">
        <is>
          <t>FHA</t>
        </is>
      </c>
      <c r="D36" s="5" t="n">
        <v>46334</v>
      </c>
      <c r="E36" s="6" t="n">
        <v>380000</v>
      </c>
      <c r="F36" s="7" t="n">
        <v>310938.36</v>
      </c>
      <c r="G36" s="7" t="n">
        <v>311868.87</v>
      </c>
      <c r="H36" s="7" t="n">
        <v>728.11</v>
      </c>
      <c r="I36" s="8" t="n">
        <v>202.4</v>
      </c>
      <c r="J36" s="9" t="n">
        <v>0.0281</v>
      </c>
      <c r="K36" s="4" t="inlineStr">
        <is>
          <t>Refinance Payoff</t>
        </is>
      </c>
      <c r="L36" s="10" t="inlineStr">
        <is>
          <t>Removed from portfolio 11/08/2026</t>
        </is>
      </c>
    </row>
    <row r="37">
      <c r="A37" s="11" t="inlineStr">
        <is>
          <t>MSR100860</t>
        </is>
      </c>
      <c r="B37" s="11" t="inlineStr">
        <is>
          <t>FHLMC</t>
        </is>
      </c>
      <c r="C37" s="11" t="inlineStr">
        <is>
          <t>Conventional</t>
        </is>
      </c>
      <c r="D37" s="12" t="n">
        <v>46328</v>
      </c>
      <c r="E37" s="13" t="n">
        <v>400000</v>
      </c>
      <c r="F37" s="14" t="n">
        <v>386327.14</v>
      </c>
      <c r="G37" s="14" t="n">
        <v>389029.48</v>
      </c>
      <c r="H37" s="14" t="n">
        <v>2433.86</v>
      </c>
      <c r="I37" s="15" t="n">
        <v>268.48</v>
      </c>
      <c r="J37" s="16" t="n">
        <v>0.0756</v>
      </c>
      <c r="K37" s="11" t="inlineStr">
        <is>
          <t>Refinance Payoff</t>
        </is>
      </c>
      <c r="L37" s="17" t="inlineStr">
        <is>
          <t>Removed from portfolio 11/02/2026</t>
        </is>
      </c>
    </row>
    <row r="38">
      <c r="A38" s="4" t="inlineStr">
        <is>
          <t>MSR207011</t>
        </is>
      </c>
      <c r="B38" s="4" t="inlineStr">
        <is>
          <t>GNMA</t>
        </is>
      </c>
      <c r="C38" s="4" t="inlineStr">
        <is>
          <t>Conventional</t>
        </is>
      </c>
      <c r="D38" s="5" t="n">
        <v>46343</v>
      </c>
      <c r="E38" s="6" t="n">
        <v>415000</v>
      </c>
      <c r="F38" s="7" t="n">
        <v>402931.4</v>
      </c>
      <c r="G38" s="7" t="n">
        <v>405067.17</v>
      </c>
      <c r="H38" s="7" t="n">
        <v>2122.11</v>
      </c>
      <c r="I38" s="8" t="n">
        <v>13.66</v>
      </c>
      <c r="J38" s="9" t="n">
        <v>0.06320000000000001</v>
      </c>
      <c r="K38" s="4" t="inlineStr">
        <is>
          <t>Refinance Payoff</t>
        </is>
      </c>
      <c r="L38" s="10" t="inlineStr">
        <is>
          <t>Removed from portfolio 11/17/2026</t>
        </is>
      </c>
    </row>
    <row r="39">
      <c r="A39" s="11" t="inlineStr">
        <is>
          <t>MSR209022</t>
        </is>
      </c>
      <c r="B39" s="11" t="inlineStr">
        <is>
          <t>FHLMC</t>
        </is>
      </c>
      <c r="C39" s="11" t="inlineStr">
        <is>
          <t>Conventional</t>
        </is>
      </c>
      <c r="D39" s="12" t="n">
        <v>46338</v>
      </c>
      <c r="E39" s="13" t="n">
        <v>280000</v>
      </c>
      <c r="F39" s="14" t="n">
        <v>279462.12</v>
      </c>
      <c r="G39" s="14" t="n">
        <v>281139.66</v>
      </c>
      <c r="H39" s="14" t="n">
        <v>1443.89</v>
      </c>
      <c r="I39" s="15" t="n">
        <v>233.65</v>
      </c>
      <c r="J39" s="16" t="n">
        <v>0.062</v>
      </c>
      <c r="K39" s="11" t="inlineStr">
        <is>
          <t>Full Payoff</t>
        </is>
      </c>
      <c r="L39" s="17" t="inlineStr">
        <is>
          <t>Removed from portfolio 11/12/2026</t>
        </is>
      </c>
    </row>
    <row r="40">
      <c r="A40" s="4" t="inlineStr">
        <is>
          <t>MSR200097</t>
        </is>
      </c>
      <c r="B40" s="4" t="inlineStr">
        <is>
          <t>GNMA</t>
        </is>
      </c>
      <c r="C40" s="4" t="inlineStr">
        <is>
          <t>Conventional</t>
        </is>
      </c>
      <c r="D40" s="5" t="n">
        <v>46349</v>
      </c>
      <c r="E40" s="6" t="n">
        <v>200000</v>
      </c>
      <c r="F40" s="7" t="n">
        <v>191780.36</v>
      </c>
      <c r="G40" s="7" t="n">
        <v>192862.1</v>
      </c>
      <c r="H40" s="7" t="n">
        <v>1021.23</v>
      </c>
      <c r="I40" s="8" t="n">
        <v>60.51</v>
      </c>
      <c r="J40" s="9" t="n">
        <v>0.0639</v>
      </c>
      <c r="K40" s="4" t="inlineStr">
        <is>
          <t>Full Payoff</t>
        </is>
      </c>
      <c r="L40" s="10" t="inlineStr">
        <is>
          <t>Removed from portfolio 11/23/2026</t>
        </is>
      </c>
    </row>
    <row r="41">
      <c r="A41" s="11" t="inlineStr">
        <is>
          <t>MSR100374</t>
        </is>
      </c>
      <c r="B41" s="11" t="inlineStr">
        <is>
          <t>FHLMC</t>
        </is>
      </c>
      <c r="C41" s="11" t="inlineStr">
        <is>
          <t>Conventional</t>
        </is>
      </c>
      <c r="D41" s="12" t="n">
        <v>46337</v>
      </c>
      <c r="E41" s="13" t="n">
        <v>310000</v>
      </c>
      <c r="F41" s="14" t="n">
        <v>298623.39</v>
      </c>
      <c r="G41" s="14" t="n">
        <v>300494.71</v>
      </c>
      <c r="H41" s="14" t="n">
        <v>1784.27</v>
      </c>
      <c r="I41" s="15" t="n">
        <v>87.05</v>
      </c>
      <c r="J41" s="16" t="n">
        <v>0.0717</v>
      </c>
      <c r="K41" s="11" t="inlineStr">
        <is>
          <t>Full Payoff</t>
        </is>
      </c>
      <c r="L41" s="17" t="inlineStr">
        <is>
          <t>Removed from portfolio 11/11/2026</t>
        </is>
      </c>
    </row>
    <row r="42">
      <c r="A42" s="4" t="inlineStr">
        <is>
          <t>MSR210047</t>
        </is>
      </c>
      <c r="B42" s="4" t="inlineStr">
        <is>
          <t>FNMA</t>
        </is>
      </c>
      <c r="C42" s="4" t="inlineStr">
        <is>
          <t>Conventional</t>
        </is>
      </c>
      <c r="D42" s="5" t="n">
        <v>46332</v>
      </c>
      <c r="E42" s="6" t="n">
        <v>460000</v>
      </c>
      <c r="F42" s="7" t="n">
        <v>458533.03</v>
      </c>
      <c r="G42" s="7" t="n">
        <v>460920.64</v>
      </c>
      <c r="H42" s="7" t="n">
        <v>2170.39</v>
      </c>
      <c r="I42" s="8" t="n">
        <v>217.22</v>
      </c>
      <c r="J42" s="9" t="n">
        <v>0.0568</v>
      </c>
      <c r="K42" s="4" t="inlineStr">
        <is>
          <t>Refinance Payoff</t>
        </is>
      </c>
      <c r="L42" s="10" t="inlineStr">
        <is>
          <t>Removed from portfolio 11/06/2026</t>
        </is>
      </c>
    </row>
    <row r="43">
      <c r="A43" s="11" t="inlineStr">
        <is>
          <t>MSR208047</t>
        </is>
      </c>
      <c r="B43" s="11" t="inlineStr">
        <is>
          <t>FNMA</t>
        </is>
      </c>
      <c r="C43" s="11" t="inlineStr">
        <is>
          <t>FHA</t>
        </is>
      </c>
      <c r="D43" s="12" t="n">
        <v>46353</v>
      </c>
      <c r="E43" s="13" t="n">
        <v>330000</v>
      </c>
      <c r="F43" s="14" t="n">
        <v>326760.55</v>
      </c>
      <c r="G43" s="14" t="n">
        <v>328550.49</v>
      </c>
      <c r="H43" s="14" t="n">
        <v>1740</v>
      </c>
      <c r="I43" s="15" t="n">
        <v>49.94</v>
      </c>
      <c r="J43" s="16" t="n">
        <v>0.0639</v>
      </c>
      <c r="K43" s="11" t="inlineStr">
        <is>
          <t>Full Payoff</t>
        </is>
      </c>
      <c r="L43" s="17" t="inlineStr">
        <is>
          <t>Removed from portfolio 11/27/2026</t>
        </is>
      </c>
    </row>
    <row r="44">
      <c r="A44" s="4" t="inlineStr">
        <is>
          <t>MSR100736</t>
        </is>
      </c>
      <c r="B44" s="4" t="inlineStr">
        <is>
          <t>FHLMC</t>
        </is>
      </c>
      <c r="C44" s="4" t="inlineStr">
        <is>
          <t>FHA</t>
        </is>
      </c>
      <c r="D44" s="5" t="n">
        <v>46334</v>
      </c>
      <c r="E44" s="6" t="n">
        <v>350000</v>
      </c>
      <c r="F44" s="7" t="n">
        <v>272454.69</v>
      </c>
      <c r="G44" s="7" t="n">
        <v>273759.34</v>
      </c>
      <c r="H44" s="7" t="n">
        <v>955.86</v>
      </c>
      <c r="I44" s="8" t="n">
        <v>348.79</v>
      </c>
      <c r="J44" s="9" t="n">
        <v>0.0421</v>
      </c>
      <c r="K44" s="4" t="inlineStr">
        <is>
          <t>Refinance Payoff</t>
        </is>
      </c>
      <c r="L44" s="10" t="inlineStr">
        <is>
          <t>Removed from portfolio 11/08/2026</t>
        </is>
      </c>
    </row>
    <row r="45">
      <c r="A45" s="18" t="inlineStr">
        <is>
          <t>TOTALS</t>
        </is>
      </c>
      <c r="B45" s="19" t="n"/>
      <c r="C45" s="19" t="n"/>
      <c r="D45" s="19" t="n"/>
      <c r="E45" s="20">
        <f>SUM(E4:E44)</f>
        <v/>
      </c>
      <c r="F45" s="20">
        <f>SUM(F4:F44)</f>
        <v/>
      </c>
      <c r="G45" s="20">
        <f>SUM(G4:G44)</f>
        <v/>
      </c>
      <c r="H45" s="20">
        <f>SUM(H4:H44)</f>
        <v/>
      </c>
      <c r="I45" s="20">
        <f>SUM(I4:I44)</f>
        <v/>
      </c>
      <c r="J45" s="19" t="n"/>
      <c r="K45" s="19" t="n"/>
      <c r="L45" s="19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2026-02-22T20:27:21Z</dcterms:created>
  <dcterms:modified xmlns:dcterms="http://purl.org/dc/terms/" xmlns:xsi="http://www.w3.org/2001/XMLSchema-instance" xsi:type="dcterms:W3CDTF">2026-02-22T20:27:21Z</dcterms:modified>
</cp:coreProperties>
</file>