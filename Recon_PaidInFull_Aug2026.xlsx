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 in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6" customWidth="1" min="5" max="5"/>
    <col width="16" customWidth="1" min="6" max="6"/>
    <col width="18" customWidth="1" min="7" max="7"/>
    <col width="14" customWidth="1" min="8" max="8"/>
    <col width="16" customWidth="1" min="9" max="9"/>
    <col width="11" customWidth="1" min="10" max="10"/>
    <col width="18" customWidth="1" min="11" max="11"/>
    <col width="30" customWidth="1" min="12" max="12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PAID IN FULL  |  Aug 2026  |  29 Loans</t>
        </is>
      </c>
    </row>
    <row r="3" ht="28" customHeight="1">
      <c r="A3" s="3" t="inlineStr">
        <is>
          <t>Loan ID</t>
        </is>
      </c>
      <c r="B3" s="3" t="inlineStr">
        <is>
          <t>Investor</t>
        </is>
      </c>
      <c r="C3" s="3" t="inlineStr">
        <is>
          <t>Loan Type</t>
        </is>
      </c>
      <c r="D3" s="3" t="inlineStr">
        <is>
          <t>Payoff Date</t>
        </is>
      </c>
      <c r="E3" s="3" t="inlineStr">
        <is>
          <t>Orig Balance ($)</t>
        </is>
      </c>
      <c r="F3" s="3" t="inlineStr">
        <is>
          <t>Final UPB ($)</t>
        </is>
      </c>
      <c r="G3" s="3" t="inlineStr">
        <is>
          <t>Payoff Amount ($)</t>
        </is>
      </c>
      <c r="H3" s="3" t="inlineStr">
        <is>
          <t>Interest Due ($)</t>
        </is>
      </c>
      <c r="I3" s="3" t="inlineStr">
        <is>
          <t>Fees / Penalties ($)</t>
        </is>
      </c>
      <c r="J3" s="3" t="inlineStr">
        <is>
          <t>Rate</t>
        </is>
      </c>
      <c r="K3" s="3" t="inlineStr">
        <is>
          <t>Payoff Reason</t>
        </is>
      </c>
      <c r="L3" s="3" t="inlineStr">
        <is>
          <t>Notes</t>
        </is>
      </c>
    </row>
    <row r="4">
      <c r="A4" s="4" t="inlineStr">
        <is>
          <t>MSR203043</t>
        </is>
      </c>
      <c r="B4" s="4" t="inlineStr">
        <is>
          <t>FHLMC</t>
        </is>
      </c>
      <c r="C4" s="4" t="inlineStr">
        <is>
          <t>Conventional</t>
        </is>
      </c>
      <c r="D4" s="5" t="n">
        <v>46238</v>
      </c>
      <c r="E4" s="6" t="n">
        <v>410000</v>
      </c>
      <c r="F4" s="7" t="n">
        <v>407557.56</v>
      </c>
      <c r="G4" s="7" t="n">
        <v>409951.65</v>
      </c>
      <c r="H4" s="7" t="n">
        <v>2064.96</v>
      </c>
      <c r="I4" s="8" t="n">
        <v>329.13</v>
      </c>
      <c r="J4" s="9" t="n">
        <v>0.0608</v>
      </c>
      <c r="K4" s="4" t="inlineStr">
        <is>
          <t>Full Payoff</t>
        </is>
      </c>
      <c r="L4" s="10" t="inlineStr">
        <is>
          <t>Removed from portfolio 08/04/2026</t>
        </is>
      </c>
    </row>
    <row r="5">
      <c r="A5" s="11" t="inlineStr">
        <is>
          <t>MSR100740</t>
        </is>
      </c>
      <c r="B5" s="11" t="inlineStr">
        <is>
          <t>FNMA</t>
        </is>
      </c>
      <c r="C5" s="11" t="inlineStr">
        <is>
          <t>Conventional</t>
        </is>
      </c>
      <c r="D5" s="12" t="n">
        <v>46251</v>
      </c>
      <c r="E5" s="13" t="n">
        <v>295000</v>
      </c>
      <c r="F5" s="14" t="n">
        <v>121936.21</v>
      </c>
      <c r="G5" s="14" t="n">
        <v>122600.91</v>
      </c>
      <c r="H5" s="14" t="n">
        <v>369.87</v>
      </c>
      <c r="I5" s="15" t="n">
        <v>294.83</v>
      </c>
      <c r="J5" s="16" t="n">
        <v>0.0364</v>
      </c>
      <c r="K5" s="11" t="inlineStr">
        <is>
          <t>Full Payoff</t>
        </is>
      </c>
      <c r="L5" s="17" t="inlineStr">
        <is>
          <t>Removed from portfolio 08/17/2026</t>
        </is>
      </c>
    </row>
    <row r="6">
      <c r="A6" s="4" t="inlineStr">
        <is>
          <t>MSR205094</t>
        </is>
      </c>
      <c r="B6" s="4" t="inlineStr">
        <is>
          <t>FNMA</t>
        </is>
      </c>
      <c r="C6" s="4" t="inlineStr">
        <is>
          <t>FHA</t>
        </is>
      </c>
      <c r="D6" s="5" t="n">
        <v>46248</v>
      </c>
      <c r="E6" s="6" t="n">
        <v>470000</v>
      </c>
      <c r="F6" s="7" t="n">
        <v>468634.36</v>
      </c>
      <c r="G6" s="7" t="n">
        <v>471354.51</v>
      </c>
      <c r="H6" s="7" t="n">
        <v>2409.56</v>
      </c>
      <c r="I6" s="8" t="n">
        <v>310.59</v>
      </c>
      <c r="J6" s="9" t="n">
        <v>0.0617</v>
      </c>
      <c r="K6" s="4" t="inlineStr">
        <is>
          <t>Full Payoff</t>
        </is>
      </c>
      <c r="L6" s="10" t="inlineStr">
        <is>
          <t>Removed from portfolio 08/14/2026</t>
        </is>
      </c>
    </row>
    <row r="7">
      <c r="A7" s="11" t="inlineStr">
        <is>
          <t>MSR204019</t>
        </is>
      </c>
      <c r="B7" s="11" t="inlineStr">
        <is>
          <t>FHLMC</t>
        </is>
      </c>
      <c r="C7" s="11" t="inlineStr">
        <is>
          <t>VA</t>
        </is>
      </c>
      <c r="D7" s="12" t="n">
        <v>46255</v>
      </c>
      <c r="E7" s="13" t="n">
        <v>345000</v>
      </c>
      <c r="F7" s="14" t="n">
        <v>343707.89</v>
      </c>
      <c r="G7" s="14" t="n">
        <v>345796.57</v>
      </c>
      <c r="H7" s="14" t="n">
        <v>1821.65</v>
      </c>
      <c r="I7" s="15" t="n">
        <v>267.03</v>
      </c>
      <c r="J7" s="16" t="n">
        <v>0.0636</v>
      </c>
      <c r="K7" s="11" t="inlineStr">
        <is>
          <t>Full Payoff</t>
        </is>
      </c>
      <c r="L7" s="17" t="inlineStr">
        <is>
          <t>Removed from portfolio 08/21/2026</t>
        </is>
      </c>
    </row>
    <row r="8">
      <c r="A8" s="4" t="inlineStr">
        <is>
          <t>MSR206107</t>
        </is>
      </c>
      <c r="B8" s="4" t="inlineStr">
        <is>
          <t>FNMA</t>
        </is>
      </c>
      <c r="C8" s="4" t="inlineStr">
        <is>
          <t>Conventional</t>
        </is>
      </c>
      <c r="D8" s="5" t="n">
        <v>46251</v>
      </c>
      <c r="E8" s="6" t="n">
        <v>410000</v>
      </c>
      <c r="F8" s="7" t="n">
        <v>408446.67</v>
      </c>
      <c r="G8" s="7" t="n">
        <v>410644.07</v>
      </c>
      <c r="H8" s="7" t="n">
        <v>2144.35</v>
      </c>
      <c r="I8" s="8" t="n">
        <v>53.05</v>
      </c>
      <c r="J8" s="9" t="n">
        <v>0.063</v>
      </c>
      <c r="K8" s="4" t="inlineStr">
        <is>
          <t>Refinance Payoff</t>
        </is>
      </c>
      <c r="L8" s="10" t="inlineStr">
        <is>
          <t>Removed from portfolio 08/17/2026</t>
        </is>
      </c>
    </row>
    <row r="9">
      <c r="A9" s="11" t="inlineStr">
        <is>
          <t>MSR207106</t>
        </is>
      </c>
      <c r="B9" s="11" t="inlineStr">
        <is>
          <t>FNMA</t>
        </is>
      </c>
      <c r="C9" s="11" t="inlineStr">
        <is>
          <t>Conventional</t>
        </is>
      </c>
      <c r="D9" s="12" t="n">
        <v>46250</v>
      </c>
      <c r="E9" s="13" t="n">
        <v>290000</v>
      </c>
      <c r="F9" s="14" t="n">
        <v>289178.14</v>
      </c>
      <c r="G9" s="14" t="n">
        <v>290738.23</v>
      </c>
      <c r="H9" s="14" t="n">
        <v>1518.19</v>
      </c>
      <c r="I9" s="15" t="n">
        <v>41.9</v>
      </c>
      <c r="J9" s="16" t="n">
        <v>0.063</v>
      </c>
      <c r="K9" s="11" t="inlineStr">
        <is>
          <t>Sale Payoff</t>
        </is>
      </c>
      <c r="L9" s="17" t="inlineStr">
        <is>
          <t>Removed from portfolio 08/16/2026</t>
        </is>
      </c>
    </row>
    <row r="10">
      <c r="A10" s="4" t="inlineStr">
        <is>
          <t>MSR205208</t>
        </is>
      </c>
      <c r="B10" s="4" t="inlineStr">
        <is>
          <t>FNMA</t>
        </is>
      </c>
      <c r="C10" s="4" t="inlineStr">
        <is>
          <t>Conventional</t>
        </is>
      </c>
      <c r="D10" s="5" t="n">
        <v>46245</v>
      </c>
      <c r="E10" s="6" t="n">
        <v>440000</v>
      </c>
      <c r="F10" s="7" t="n">
        <v>432548.87</v>
      </c>
      <c r="G10" s="7" t="n">
        <v>435088.57</v>
      </c>
      <c r="H10" s="7" t="n">
        <v>2270.88</v>
      </c>
      <c r="I10" s="8" t="n">
        <v>268.82</v>
      </c>
      <c r="J10" s="9" t="n">
        <v>0.063</v>
      </c>
      <c r="K10" s="4" t="inlineStr">
        <is>
          <t>Estate Payoff</t>
        </is>
      </c>
      <c r="L10" s="10" t="inlineStr">
        <is>
          <t>Removed from portfolio 08/11/2026</t>
        </is>
      </c>
    </row>
    <row r="11">
      <c r="A11" s="11" t="inlineStr">
        <is>
          <t>MSR100980</t>
        </is>
      </c>
      <c r="B11" s="11" t="inlineStr">
        <is>
          <t>GNMA</t>
        </is>
      </c>
      <c r="C11" s="11" t="inlineStr">
        <is>
          <t>FHA</t>
        </is>
      </c>
      <c r="D11" s="12" t="n">
        <v>46248</v>
      </c>
      <c r="E11" s="13" t="n">
        <v>295000</v>
      </c>
      <c r="F11" s="14" t="n">
        <v>250740.95</v>
      </c>
      <c r="G11" s="14" t="n">
        <v>251595.32</v>
      </c>
      <c r="H11" s="14" t="n">
        <v>706.25</v>
      </c>
      <c r="I11" s="15" t="n">
        <v>148.12</v>
      </c>
      <c r="J11" s="16" t="n">
        <v>0.0338</v>
      </c>
      <c r="K11" s="11" t="inlineStr">
        <is>
          <t>Refinance Payoff</t>
        </is>
      </c>
      <c r="L11" s="17" t="inlineStr">
        <is>
          <t>Removed from portfolio 08/14/2026</t>
        </is>
      </c>
    </row>
    <row r="12">
      <c r="A12" s="4" t="inlineStr">
        <is>
          <t>MSR203139</t>
        </is>
      </c>
      <c r="B12" s="4" t="inlineStr">
        <is>
          <t>FHLMC</t>
        </is>
      </c>
      <c r="C12" s="4" t="inlineStr">
        <is>
          <t>VA</t>
        </is>
      </c>
      <c r="D12" s="5" t="n">
        <v>46261</v>
      </c>
      <c r="E12" s="6" t="n">
        <v>370000</v>
      </c>
      <c r="F12" s="7" t="n">
        <v>367455.91</v>
      </c>
      <c r="G12" s="7" t="n">
        <v>369685.47</v>
      </c>
      <c r="H12" s="7" t="n">
        <v>1883.21</v>
      </c>
      <c r="I12" s="8" t="n">
        <v>346.35</v>
      </c>
      <c r="J12" s="9" t="n">
        <v>0.0615</v>
      </c>
      <c r="K12" s="4" t="inlineStr">
        <is>
          <t>Full Payoff</t>
        </is>
      </c>
      <c r="L12" s="10" t="inlineStr">
        <is>
          <t>Removed from portfolio 08/27/2026</t>
        </is>
      </c>
    </row>
    <row r="13">
      <c r="A13" s="11" t="inlineStr">
        <is>
          <t>MSR204095</t>
        </is>
      </c>
      <c r="B13" s="11" t="inlineStr">
        <is>
          <t>FHLMC</t>
        </is>
      </c>
      <c r="C13" s="11" t="inlineStr">
        <is>
          <t>Conventional</t>
        </is>
      </c>
      <c r="D13" s="12" t="n">
        <v>46242</v>
      </c>
      <c r="E13" s="13" t="n">
        <v>325000</v>
      </c>
      <c r="F13" s="14" t="n">
        <v>303192.42</v>
      </c>
      <c r="G13" s="14" t="n">
        <v>304873.32</v>
      </c>
      <c r="H13" s="14" t="n">
        <v>1627.13</v>
      </c>
      <c r="I13" s="15" t="n">
        <v>53.77</v>
      </c>
      <c r="J13" s="16" t="n">
        <v>0.0644</v>
      </c>
      <c r="K13" s="11" t="inlineStr">
        <is>
          <t>Refinance Payoff</t>
        </is>
      </c>
      <c r="L13" s="17" t="inlineStr">
        <is>
          <t>Removed from portfolio 08/08/2026</t>
        </is>
      </c>
    </row>
    <row r="14">
      <c r="A14" s="4" t="inlineStr">
        <is>
          <t>MSR207043</t>
        </is>
      </c>
      <c r="B14" s="4" t="inlineStr">
        <is>
          <t>FNMA</t>
        </is>
      </c>
      <c r="C14" s="4" t="inlineStr">
        <is>
          <t>FHA</t>
        </is>
      </c>
      <c r="D14" s="5" t="n">
        <v>46248</v>
      </c>
      <c r="E14" s="6" t="n">
        <v>485000</v>
      </c>
      <c r="F14" s="7" t="n">
        <v>484096.59</v>
      </c>
      <c r="G14" s="7" t="n">
        <v>486987.88</v>
      </c>
      <c r="H14" s="7" t="n">
        <v>2565.71</v>
      </c>
      <c r="I14" s="8" t="n">
        <v>325.58</v>
      </c>
      <c r="J14" s="9" t="n">
        <v>0.0636</v>
      </c>
      <c r="K14" s="4" t="inlineStr">
        <is>
          <t>Estate Payoff</t>
        </is>
      </c>
      <c r="L14" s="10" t="inlineStr">
        <is>
          <t>Removed from portfolio 08/14/2026</t>
        </is>
      </c>
    </row>
    <row r="15">
      <c r="A15" s="11" t="inlineStr">
        <is>
          <t>MSR206149</t>
        </is>
      </c>
      <c r="B15" s="11" t="inlineStr">
        <is>
          <t>FNMA</t>
        </is>
      </c>
      <c r="C15" s="11" t="inlineStr">
        <is>
          <t>USDA</t>
        </is>
      </c>
      <c r="D15" s="12" t="n">
        <v>46258</v>
      </c>
      <c r="E15" s="13" t="n">
        <v>450000</v>
      </c>
      <c r="F15" s="14" t="n">
        <v>438728.94</v>
      </c>
      <c r="G15" s="14" t="n">
        <v>441097.43</v>
      </c>
      <c r="H15" s="14" t="n">
        <v>2317.95</v>
      </c>
      <c r="I15" s="15" t="n">
        <v>50.54</v>
      </c>
      <c r="J15" s="16" t="n">
        <v>0.0634</v>
      </c>
      <c r="K15" s="11" t="inlineStr">
        <is>
          <t>Estate Payoff</t>
        </is>
      </c>
      <c r="L15" s="17" t="inlineStr">
        <is>
          <t>Removed from portfolio 08/24/2026</t>
        </is>
      </c>
    </row>
    <row r="16">
      <c r="A16" s="4" t="inlineStr">
        <is>
          <t>MSR206058</t>
        </is>
      </c>
      <c r="B16" s="4" t="inlineStr">
        <is>
          <t>FHLMC</t>
        </is>
      </c>
      <c r="C16" s="4" t="inlineStr">
        <is>
          <t>Conventional</t>
        </is>
      </c>
      <c r="D16" s="5" t="n">
        <v>46246</v>
      </c>
      <c r="E16" s="6" t="n">
        <v>405000</v>
      </c>
      <c r="F16" s="7" t="n">
        <v>404242.68</v>
      </c>
      <c r="G16" s="7" t="n">
        <v>406564.64</v>
      </c>
      <c r="H16" s="7" t="n">
        <v>2135.75</v>
      </c>
      <c r="I16" s="8" t="n">
        <v>186.21</v>
      </c>
      <c r="J16" s="9" t="n">
        <v>0.0634</v>
      </c>
      <c r="K16" s="4" t="inlineStr">
        <is>
          <t>Full Payoff</t>
        </is>
      </c>
      <c r="L16" s="10" t="inlineStr">
        <is>
          <t>Removed from portfolio 08/12/2026</t>
        </is>
      </c>
    </row>
    <row r="17">
      <c r="A17" s="11" t="inlineStr">
        <is>
          <t>MSR202073</t>
        </is>
      </c>
      <c r="B17" s="11" t="inlineStr">
        <is>
          <t>GNMA</t>
        </is>
      </c>
      <c r="C17" s="11" t="inlineStr">
        <is>
          <t>USDA</t>
        </is>
      </c>
      <c r="D17" s="12" t="n">
        <v>46251</v>
      </c>
      <c r="E17" s="13" t="n">
        <v>295000</v>
      </c>
      <c r="F17" s="14" t="n">
        <v>292944.49</v>
      </c>
      <c r="G17" s="14" t="n">
        <v>294501.15</v>
      </c>
      <c r="H17" s="14" t="n">
        <v>1484.25</v>
      </c>
      <c r="I17" s="15" t="n">
        <v>72.41</v>
      </c>
      <c r="J17" s="16" t="n">
        <v>0.0608</v>
      </c>
      <c r="K17" s="11" t="inlineStr">
        <is>
          <t>Full Payoff</t>
        </is>
      </c>
      <c r="L17" s="17" t="inlineStr">
        <is>
          <t>Removed from portfolio 08/17/2026</t>
        </is>
      </c>
    </row>
    <row r="18">
      <c r="A18" s="4" t="inlineStr">
        <is>
          <t>MSR204031</t>
        </is>
      </c>
      <c r="B18" s="4" t="inlineStr">
        <is>
          <t>FHLMC</t>
        </is>
      </c>
      <c r="C18" s="4" t="inlineStr">
        <is>
          <t>Conventional</t>
        </is>
      </c>
      <c r="D18" s="5" t="n">
        <v>46251</v>
      </c>
      <c r="E18" s="6" t="n">
        <v>265000</v>
      </c>
      <c r="F18" s="7" t="n">
        <v>261559.82</v>
      </c>
      <c r="G18" s="7" t="n">
        <v>263230.95</v>
      </c>
      <c r="H18" s="7" t="n">
        <v>1331.78</v>
      </c>
      <c r="I18" s="8" t="n">
        <v>339.35</v>
      </c>
      <c r="J18" s="9" t="n">
        <v>0.0611</v>
      </c>
      <c r="K18" s="4" t="inlineStr">
        <is>
          <t>Refinance Payoff</t>
        </is>
      </c>
      <c r="L18" s="10" t="inlineStr">
        <is>
          <t>Removed from portfolio 08/17/2026</t>
        </is>
      </c>
    </row>
    <row r="19">
      <c r="A19" s="11" t="inlineStr">
        <is>
          <t>MSR100586</t>
        </is>
      </c>
      <c r="B19" s="11" t="inlineStr">
        <is>
          <t>FHLMC</t>
        </is>
      </c>
      <c r="C19" s="11" t="inlineStr">
        <is>
          <t>FHA</t>
        </is>
      </c>
      <c r="D19" s="12" t="n">
        <v>46259</v>
      </c>
      <c r="E19" s="13" t="n">
        <v>345000</v>
      </c>
      <c r="F19" s="14" t="n">
        <v>319049.91</v>
      </c>
      <c r="G19" s="14" t="n">
        <v>320340.18</v>
      </c>
      <c r="H19" s="14" t="n">
        <v>1270.88</v>
      </c>
      <c r="I19" s="15" t="n">
        <v>19.39</v>
      </c>
      <c r="J19" s="16" t="n">
        <v>0.0478</v>
      </c>
      <c r="K19" s="11" t="inlineStr">
        <is>
          <t>Refinance Payoff</t>
        </is>
      </c>
      <c r="L19" s="17" t="inlineStr">
        <is>
          <t>Removed from portfolio 08/25/2026</t>
        </is>
      </c>
    </row>
    <row r="20">
      <c r="A20" s="4" t="inlineStr">
        <is>
          <t>MSR205132</t>
        </is>
      </c>
      <c r="B20" s="4" t="inlineStr">
        <is>
          <t>FHLMC</t>
        </is>
      </c>
      <c r="C20" s="4" t="inlineStr">
        <is>
          <t>Conventional</t>
        </is>
      </c>
      <c r="D20" s="5" t="n">
        <v>46241</v>
      </c>
      <c r="E20" s="6" t="n">
        <v>360000</v>
      </c>
      <c r="F20" s="7" t="n">
        <v>356138.1</v>
      </c>
      <c r="G20" s="7" t="n">
        <v>358149.19</v>
      </c>
      <c r="H20" s="7" t="n">
        <v>1828.18</v>
      </c>
      <c r="I20" s="8" t="n">
        <v>182.91</v>
      </c>
      <c r="J20" s="9" t="n">
        <v>0.0616</v>
      </c>
      <c r="K20" s="4" t="inlineStr">
        <is>
          <t>Refinance Payoff</t>
        </is>
      </c>
      <c r="L20" s="10" t="inlineStr">
        <is>
          <t>Removed from portfolio 08/07/2026</t>
        </is>
      </c>
    </row>
    <row r="21">
      <c r="A21" s="11" t="inlineStr">
        <is>
          <t>MSR100963</t>
        </is>
      </c>
      <c r="B21" s="11" t="inlineStr">
        <is>
          <t>Portfolio</t>
        </is>
      </c>
      <c r="C21" s="11" t="inlineStr">
        <is>
          <t>Conventional</t>
        </is>
      </c>
      <c r="D21" s="12" t="n">
        <v>46256</v>
      </c>
      <c r="E21" s="13" t="n">
        <v>340000</v>
      </c>
      <c r="F21" s="14" t="n">
        <v>263620.42</v>
      </c>
      <c r="G21" s="14" t="n">
        <v>264641.64</v>
      </c>
      <c r="H21" s="14" t="n">
        <v>812.83</v>
      </c>
      <c r="I21" s="15" t="n">
        <v>208.39</v>
      </c>
      <c r="J21" s="16" t="n">
        <v>0.037</v>
      </c>
      <c r="K21" s="11" t="inlineStr">
        <is>
          <t>Refinance Payoff</t>
        </is>
      </c>
      <c r="L21" s="17" t="inlineStr">
        <is>
          <t>Removed from portfolio 08/22/2026</t>
        </is>
      </c>
    </row>
    <row r="22">
      <c r="A22" s="4" t="inlineStr">
        <is>
          <t>MSR202153</t>
        </is>
      </c>
      <c r="B22" s="4" t="inlineStr">
        <is>
          <t>FNMA</t>
        </is>
      </c>
      <c r="C22" s="4" t="inlineStr">
        <is>
          <t>Conventional</t>
        </is>
      </c>
      <c r="D22" s="5" t="n">
        <v>46248</v>
      </c>
      <c r="E22" s="6" t="n">
        <v>355000</v>
      </c>
      <c r="F22" s="7" t="n">
        <v>349831.66</v>
      </c>
      <c r="G22" s="7" t="n">
        <v>351811.65</v>
      </c>
      <c r="H22" s="7" t="n">
        <v>1886.18</v>
      </c>
      <c r="I22" s="8" t="n">
        <v>93.81</v>
      </c>
      <c r="J22" s="9" t="n">
        <v>0.06469999999999999</v>
      </c>
      <c r="K22" s="4" t="inlineStr">
        <is>
          <t>Full Payoff</t>
        </is>
      </c>
      <c r="L22" s="10" t="inlineStr">
        <is>
          <t>Removed from portfolio 08/14/2026</t>
        </is>
      </c>
    </row>
    <row r="23">
      <c r="A23" s="11" t="inlineStr">
        <is>
          <t>MSR207036</t>
        </is>
      </c>
      <c r="B23" s="11" t="inlineStr">
        <is>
          <t>FNMA</t>
        </is>
      </c>
      <c r="C23" s="11" t="inlineStr">
        <is>
          <t>VA</t>
        </is>
      </c>
      <c r="D23" s="12" t="n">
        <v>46259</v>
      </c>
      <c r="E23" s="13" t="n">
        <v>370000</v>
      </c>
      <c r="F23" s="14" t="n">
        <v>369314.78</v>
      </c>
      <c r="G23" s="14" t="n">
        <v>371518.83</v>
      </c>
      <c r="H23" s="14" t="n">
        <v>1966.6</v>
      </c>
      <c r="I23" s="15" t="n">
        <v>237.45</v>
      </c>
      <c r="J23" s="16" t="n">
        <v>0.0639</v>
      </c>
      <c r="K23" s="11" t="inlineStr">
        <is>
          <t>Refinance Payoff</t>
        </is>
      </c>
      <c r="L23" s="17" t="inlineStr">
        <is>
          <t>Removed from portfolio 08/25/2026</t>
        </is>
      </c>
    </row>
    <row r="24">
      <c r="A24" s="4" t="inlineStr">
        <is>
          <t>MSR207119</t>
        </is>
      </c>
      <c r="B24" s="4" t="inlineStr">
        <is>
          <t>GNMA</t>
        </is>
      </c>
      <c r="C24" s="4" t="inlineStr">
        <is>
          <t>Conventional</t>
        </is>
      </c>
      <c r="D24" s="5" t="n">
        <v>46241</v>
      </c>
      <c r="E24" s="6" t="n">
        <v>365000</v>
      </c>
      <c r="F24" s="7" t="n">
        <v>363947.55</v>
      </c>
      <c r="G24" s="7" t="n">
        <v>366068.93</v>
      </c>
      <c r="H24" s="7" t="n">
        <v>1883.43</v>
      </c>
      <c r="I24" s="8" t="n">
        <v>237.95</v>
      </c>
      <c r="J24" s="9" t="n">
        <v>0.0621</v>
      </c>
      <c r="K24" s="4" t="inlineStr">
        <is>
          <t>Refinance Payoff</t>
        </is>
      </c>
      <c r="L24" s="10" t="inlineStr">
        <is>
          <t>Removed from portfolio 08/07/2026</t>
        </is>
      </c>
    </row>
    <row r="25">
      <c r="A25" s="11" t="inlineStr">
        <is>
          <t>MSR207162</t>
        </is>
      </c>
      <c r="B25" s="11" t="inlineStr">
        <is>
          <t>FNMA</t>
        </is>
      </c>
      <c r="C25" s="11" t="inlineStr">
        <is>
          <t>Conventional</t>
        </is>
      </c>
      <c r="D25" s="12" t="n">
        <v>46244</v>
      </c>
      <c r="E25" s="13" t="n">
        <v>225000</v>
      </c>
      <c r="F25" s="14" t="n">
        <v>224790.19</v>
      </c>
      <c r="G25" s="14" t="n">
        <v>226191.12</v>
      </c>
      <c r="H25" s="14" t="n">
        <v>1187.64</v>
      </c>
      <c r="I25" s="15" t="n">
        <v>213.29</v>
      </c>
      <c r="J25" s="16" t="n">
        <v>0.0634</v>
      </c>
      <c r="K25" s="11" t="inlineStr">
        <is>
          <t>Refinance Payoff</t>
        </is>
      </c>
      <c r="L25" s="17" t="inlineStr">
        <is>
          <t>Removed from portfolio 08/10/2026</t>
        </is>
      </c>
    </row>
    <row r="26">
      <c r="A26" s="4" t="inlineStr">
        <is>
          <t>MSR100657</t>
        </is>
      </c>
      <c r="B26" s="4" t="inlineStr">
        <is>
          <t>FNMA</t>
        </is>
      </c>
      <c r="C26" s="4" t="inlineStr">
        <is>
          <t>Conventional</t>
        </is>
      </c>
      <c r="D26" s="5" t="n">
        <v>46257</v>
      </c>
      <c r="E26" s="6" t="n">
        <v>290000</v>
      </c>
      <c r="F26" s="7" t="n">
        <v>216400.29</v>
      </c>
      <c r="G26" s="7" t="n">
        <v>217238.09</v>
      </c>
      <c r="H26" s="7" t="n">
        <v>696.09</v>
      </c>
      <c r="I26" s="8" t="n">
        <v>141.71</v>
      </c>
      <c r="J26" s="9" t="n">
        <v>0.0386</v>
      </c>
      <c r="K26" s="4" t="inlineStr">
        <is>
          <t>Refinance Payoff</t>
        </is>
      </c>
      <c r="L26" s="10" t="inlineStr">
        <is>
          <t>Removed from portfolio 08/23/2026</t>
        </is>
      </c>
    </row>
    <row r="27">
      <c r="A27" s="11" t="inlineStr">
        <is>
          <t>MSR100883</t>
        </is>
      </c>
      <c r="B27" s="11" t="inlineStr">
        <is>
          <t>FHLMC</t>
        </is>
      </c>
      <c r="C27" s="11" t="inlineStr">
        <is>
          <t>Conventional</t>
        </is>
      </c>
      <c r="D27" s="12" t="n">
        <v>46239</v>
      </c>
      <c r="E27" s="13" t="n">
        <v>320000</v>
      </c>
      <c r="F27" s="14" t="n">
        <v>283226.71</v>
      </c>
      <c r="G27" s="14" t="n">
        <v>284176.28</v>
      </c>
      <c r="H27" s="14" t="n">
        <v>679.74</v>
      </c>
      <c r="I27" s="15" t="n">
        <v>269.83</v>
      </c>
      <c r="J27" s="16" t="n">
        <v>0.0288</v>
      </c>
      <c r="K27" s="11" t="inlineStr">
        <is>
          <t>Full Payoff</t>
        </is>
      </c>
      <c r="L27" s="17" t="inlineStr">
        <is>
          <t>Removed from portfolio 08/05/2026</t>
        </is>
      </c>
    </row>
    <row r="28">
      <c r="A28" s="4" t="inlineStr">
        <is>
          <t>MSR207002</t>
        </is>
      </c>
      <c r="B28" s="4" t="inlineStr">
        <is>
          <t>FNMA</t>
        </is>
      </c>
      <c r="C28" s="4" t="inlineStr">
        <is>
          <t>Conventional</t>
        </is>
      </c>
      <c r="D28" s="5" t="n">
        <v>46241</v>
      </c>
      <c r="E28" s="6" t="n">
        <v>485000</v>
      </c>
      <c r="F28" s="7" t="n">
        <v>481952.55</v>
      </c>
      <c r="G28" s="7" t="n">
        <v>484792.05</v>
      </c>
      <c r="H28" s="7" t="n">
        <v>2538.28</v>
      </c>
      <c r="I28" s="8" t="n">
        <v>301.22</v>
      </c>
      <c r="J28" s="9" t="n">
        <v>0.06320000000000001</v>
      </c>
      <c r="K28" s="4" t="inlineStr">
        <is>
          <t>Refinance Payoff</t>
        </is>
      </c>
      <c r="L28" s="10" t="inlineStr">
        <is>
          <t>Removed from portfolio 08/07/2026</t>
        </is>
      </c>
    </row>
    <row r="29">
      <c r="A29" s="11" t="inlineStr">
        <is>
          <t>MSR100679</t>
        </is>
      </c>
      <c r="B29" s="11" t="inlineStr">
        <is>
          <t>GNMA</t>
        </is>
      </c>
      <c r="C29" s="11" t="inlineStr">
        <is>
          <t>Conventional</t>
        </is>
      </c>
      <c r="D29" s="12" t="n">
        <v>46246</v>
      </c>
      <c r="E29" s="13" t="n">
        <v>200000</v>
      </c>
      <c r="F29" s="14" t="n">
        <v>162792.87</v>
      </c>
      <c r="G29" s="14" t="n">
        <v>163523.77</v>
      </c>
      <c r="H29" s="14" t="n">
        <v>592.84</v>
      </c>
      <c r="I29" s="15" t="n">
        <v>138.06</v>
      </c>
      <c r="J29" s="16" t="n">
        <v>0.0437</v>
      </c>
      <c r="K29" s="11" t="inlineStr">
        <is>
          <t>Full Payoff</t>
        </is>
      </c>
      <c r="L29" s="17" t="inlineStr">
        <is>
          <t>Removed from portfolio 08/12/2026</t>
        </is>
      </c>
    </row>
    <row r="30">
      <c r="A30" s="4" t="inlineStr">
        <is>
          <t>MSR203062</t>
        </is>
      </c>
      <c r="B30" s="4" t="inlineStr">
        <is>
          <t>GNMA</t>
        </is>
      </c>
      <c r="C30" s="4" t="inlineStr">
        <is>
          <t>FHA</t>
        </is>
      </c>
      <c r="D30" s="5" t="n">
        <v>46244</v>
      </c>
      <c r="E30" s="6" t="n">
        <v>415000</v>
      </c>
      <c r="F30" s="7" t="n">
        <v>412583.49</v>
      </c>
      <c r="G30" s="7" t="n">
        <v>414793.21</v>
      </c>
      <c r="H30" s="7" t="n">
        <v>2131.68</v>
      </c>
      <c r="I30" s="8" t="n">
        <v>78.04000000000001</v>
      </c>
      <c r="J30" s="9" t="n">
        <v>0.062</v>
      </c>
      <c r="K30" s="4" t="inlineStr">
        <is>
          <t>Full Payoff</t>
        </is>
      </c>
      <c r="L30" s="10" t="inlineStr">
        <is>
          <t>Removed from portfolio 08/10/2026</t>
        </is>
      </c>
    </row>
    <row r="31">
      <c r="A31" s="11" t="inlineStr">
        <is>
          <t>MSR203044</t>
        </is>
      </c>
      <c r="B31" s="11" t="inlineStr">
        <is>
          <t>FHLMC</t>
        </is>
      </c>
      <c r="C31" s="11" t="inlineStr">
        <is>
          <t>Conventional</t>
        </is>
      </c>
      <c r="D31" s="12" t="n">
        <v>46254</v>
      </c>
      <c r="E31" s="13" t="n">
        <v>365000</v>
      </c>
      <c r="F31" s="14" t="n">
        <v>363260.25</v>
      </c>
      <c r="G31" s="14" t="n">
        <v>365272.74</v>
      </c>
      <c r="H31" s="14" t="n">
        <v>1901.06</v>
      </c>
      <c r="I31" s="15" t="n">
        <v>111.43</v>
      </c>
      <c r="J31" s="16" t="n">
        <v>0.06279999999999999</v>
      </c>
      <c r="K31" s="11" t="inlineStr">
        <is>
          <t>Estate Payoff</t>
        </is>
      </c>
      <c r="L31" s="17" t="inlineStr">
        <is>
          <t>Removed from portfolio 08/20/2026</t>
        </is>
      </c>
    </row>
    <row r="32">
      <c r="A32" s="4" t="inlineStr">
        <is>
          <t>MSR202132</t>
        </is>
      </c>
      <c r="B32" s="4" t="inlineStr">
        <is>
          <t>FHLMC</t>
        </is>
      </c>
      <c r="C32" s="4" t="inlineStr">
        <is>
          <t>FHA</t>
        </is>
      </c>
      <c r="D32" s="5" t="n">
        <v>46248</v>
      </c>
      <c r="E32" s="6" t="n">
        <v>375000</v>
      </c>
      <c r="F32" s="7" t="n">
        <v>372824.7</v>
      </c>
      <c r="G32" s="7" t="n">
        <v>375068.21</v>
      </c>
      <c r="H32" s="7" t="n">
        <v>1932.47</v>
      </c>
      <c r="I32" s="8" t="n">
        <v>311.04</v>
      </c>
      <c r="J32" s="9" t="n">
        <v>0.0622</v>
      </c>
      <c r="K32" s="4" t="inlineStr">
        <is>
          <t>Full Payoff</t>
        </is>
      </c>
      <c r="L32" s="10" t="inlineStr">
        <is>
          <t>Removed from portfolio 08/14/2026</t>
        </is>
      </c>
    </row>
    <row r="33">
      <c r="A33" s="18" t="inlineStr">
        <is>
          <t>TOTALS</t>
        </is>
      </c>
      <c r="B33" s="19" t="n"/>
      <c r="C33" s="19" t="n"/>
      <c r="D33" s="19" t="n"/>
      <c r="E33" s="20">
        <f>SUM(E4:E32)</f>
        <v/>
      </c>
      <c r="F33" s="20">
        <f>SUM(F4:F32)</f>
        <v/>
      </c>
      <c r="G33" s="20">
        <f>SUM(G4:G32)</f>
        <v/>
      </c>
      <c r="H33" s="20">
        <f>SUM(H4:H32)</f>
        <v/>
      </c>
      <c r="I33" s="20">
        <f>SUM(I4:I32)</f>
        <v/>
      </c>
      <c r="J33" s="19" t="n"/>
      <c r="K33" s="19" t="n"/>
      <c r="L33" s="19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2026-02-22T20:27:03Z</dcterms:created>
  <dcterms:modified xmlns:dcterms="http://purl.org/dc/terms/" xmlns:xsi="http://www.w3.org/2001/XMLSchema-instance" xsi:type="dcterms:W3CDTF">2026-02-22T20:27:03Z</dcterms:modified>
</cp:coreProperties>
</file>