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Sep 2026  |  28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MSR205053</t>
        </is>
      </c>
      <c r="B4" s="4" t="inlineStr">
        <is>
          <t>FNMA</t>
        </is>
      </c>
      <c r="C4" s="4" t="inlineStr">
        <is>
          <t>FHA</t>
        </is>
      </c>
      <c r="D4" s="5" t="n">
        <v>46288</v>
      </c>
      <c r="E4" s="6" t="n">
        <v>225000</v>
      </c>
      <c r="F4" s="7" t="n">
        <v>223919.33</v>
      </c>
      <c r="G4" s="7" t="n">
        <v>225093.3</v>
      </c>
      <c r="H4" s="7" t="n">
        <v>1164.38</v>
      </c>
      <c r="I4" s="8" t="n">
        <v>9.59</v>
      </c>
      <c r="J4" s="9" t="n">
        <v>0.0624</v>
      </c>
      <c r="K4" s="4" t="inlineStr">
        <is>
          <t>Full Payoff</t>
        </is>
      </c>
      <c r="L4" s="10" t="inlineStr">
        <is>
          <t>Removed from portfolio 09/23/2026</t>
        </is>
      </c>
    </row>
    <row r="5">
      <c r="A5" s="11" t="inlineStr">
        <is>
          <t>MSR100910</t>
        </is>
      </c>
      <c r="B5" s="11" t="inlineStr">
        <is>
          <t>GNMA</t>
        </is>
      </c>
      <c r="C5" s="11" t="inlineStr">
        <is>
          <t>FHA</t>
        </is>
      </c>
      <c r="D5" s="12" t="n">
        <v>46268</v>
      </c>
      <c r="E5" s="13" t="n">
        <v>315000</v>
      </c>
      <c r="F5" s="14" t="n">
        <v>280301.51</v>
      </c>
      <c r="G5" s="14" t="n">
        <v>281377.11</v>
      </c>
      <c r="H5" s="14" t="n">
        <v>768.49</v>
      </c>
      <c r="I5" s="15" t="n">
        <v>307.11</v>
      </c>
      <c r="J5" s="16" t="n">
        <v>0.0329</v>
      </c>
      <c r="K5" s="11" t="inlineStr">
        <is>
          <t>Refinance Payoff</t>
        </is>
      </c>
      <c r="L5" s="17" t="inlineStr">
        <is>
          <t>Removed from portfolio 09/03/2026</t>
        </is>
      </c>
    </row>
    <row r="6">
      <c r="A6" s="4" t="inlineStr">
        <is>
          <t>MSR205036</t>
        </is>
      </c>
      <c r="B6" s="4" t="inlineStr">
        <is>
          <t>GNMA</t>
        </is>
      </c>
      <c r="C6" s="4" t="inlineStr">
        <is>
          <t>Conventional</t>
        </is>
      </c>
      <c r="D6" s="5" t="n">
        <v>46275</v>
      </c>
      <c r="E6" s="6" t="n">
        <v>325000</v>
      </c>
      <c r="F6" s="7" t="n">
        <v>323421.02</v>
      </c>
      <c r="G6" s="7" t="n">
        <v>325191.39</v>
      </c>
      <c r="H6" s="7" t="n">
        <v>1665.62</v>
      </c>
      <c r="I6" s="8" t="n">
        <v>104.75</v>
      </c>
      <c r="J6" s="9" t="n">
        <v>0.0618</v>
      </c>
      <c r="K6" s="4" t="inlineStr">
        <is>
          <t>Sale Payoff</t>
        </is>
      </c>
      <c r="L6" s="10" t="inlineStr">
        <is>
          <t>Removed from portfolio 09/10/2026</t>
        </is>
      </c>
    </row>
    <row r="7">
      <c r="A7" s="11" t="inlineStr">
        <is>
          <t>MSR100664</t>
        </is>
      </c>
      <c r="B7" s="11" t="inlineStr">
        <is>
          <t>GNMA</t>
        </is>
      </c>
      <c r="C7" s="11" t="inlineStr">
        <is>
          <t>Conventional</t>
        </is>
      </c>
      <c r="D7" s="12" t="n">
        <v>46276</v>
      </c>
      <c r="E7" s="13" t="n">
        <v>410000</v>
      </c>
      <c r="F7" s="14" t="n">
        <v>290736.52</v>
      </c>
      <c r="G7" s="14" t="n">
        <v>291567.26</v>
      </c>
      <c r="H7" s="14" t="n">
        <v>712.3</v>
      </c>
      <c r="I7" s="15" t="n">
        <v>118.44</v>
      </c>
      <c r="J7" s="16" t="n">
        <v>0.0294</v>
      </c>
      <c r="K7" s="11" t="inlineStr">
        <is>
          <t>Sale Payoff</t>
        </is>
      </c>
      <c r="L7" s="17" t="inlineStr">
        <is>
          <t>Removed from portfolio 09/11/2026</t>
        </is>
      </c>
    </row>
    <row r="8">
      <c r="A8" s="4" t="inlineStr">
        <is>
          <t>MSR100542</t>
        </is>
      </c>
      <c r="B8" s="4" t="inlineStr">
        <is>
          <t>Portfolio</t>
        </is>
      </c>
      <c r="C8" s="4" t="inlineStr">
        <is>
          <t>Conventional</t>
        </is>
      </c>
      <c r="D8" s="5" t="n">
        <v>46272</v>
      </c>
      <c r="E8" s="6" t="n">
        <v>285000</v>
      </c>
      <c r="F8" s="7" t="n">
        <v>247860.54</v>
      </c>
      <c r="G8" s="7" t="n">
        <v>248649.6</v>
      </c>
      <c r="H8" s="7" t="n">
        <v>582.47</v>
      </c>
      <c r="I8" s="8" t="n">
        <v>206.59</v>
      </c>
      <c r="J8" s="9" t="n">
        <v>0.0282</v>
      </c>
      <c r="K8" s="4" t="inlineStr">
        <is>
          <t>Sale Payoff</t>
        </is>
      </c>
      <c r="L8" s="10" t="inlineStr">
        <is>
          <t>Removed from portfolio 09/07/2026</t>
        </is>
      </c>
    </row>
    <row r="9">
      <c r="A9" s="11" t="inlineStr">
        <is>
          <t>MSR100249</t>
        </is>
      </c>
      <c r="B9" s="11" t="inlineStr">
        <is>
          <t>FHLMC</t>
        </is>
      </c>
      <c r="C9" s="11" t="inlineStr">
        <is>
          <t>VA</t>
        </is>
      </c>
      <c r="D9" s="12" t="n">
        <v>46275</v>
      </c>
      <c r="E9" s="13" t="n">
        <v>370000</v>
      </c>
      <c r="F9" s="14" t="n">
        <v>359292.59</v>
      </c>
      <c r="G9" s="14" t="n">
        <v>361423.79</v>
      </c>
      <c r="H9" s="14" t="n">
        <v>1847.36</v>
      </c>
      <c r="I9" s="15" t="n">
        <v>283.84</v>
      </c>
      <c r="J9" s="16" t="n">
        <v>0.0617</v>
      </c>
      <c r="K9" s="11" t="inlineStr">
        <is>
          <t>Full Payoff</t>
        </is>
      </c>
      <c r="L9" s="17" t="inlineStr">
        <is>
          <t>Removed from portfolio 09/10/2026</t>
        </is>
      </c>
    </row>
    <row r="10">
      <c r="A10" s="4" t="inlineStr">
        <is>
          <t>MSR204101</t>
        </is>
      </c>
      <c r="B10" s="4" t="inlineStr">
        <is>
          <t>FNMA</t>
        </is>
      </c>
      <c r="C10" s="4" t="inlineStr">
        <is>
          <t>Conventional</t>
        </is>
      </c>
      <c r="D10" s="5" t="n">
        <v>46281</v>
      </c>
      <c r="E10" s="6" t="n">
        <v>295000</v>
      </c>
      <c r="F10" s="7" t="n">
        <v>293558.57</v>
      </c>
      <c r="G10" s="7" t="n">
        <v>295299.43</v>
      </c>
      <c r="H10" s="7" t="n">
        <v>1504.49</v>
      </c>
      <c r="I10" s="8" t="n">
        <v>236.37</v>
      </c>
      <c r="J10" s="9" t="n">
        <v>0.0615</v>
      </c>
      <c r="K10" s="4" t="inlineStr">
        <is>
          <t>Refinance Payoff</t>
        </is>
      </c>
      <c r="L10" s="10" t="inlineStr">
        <is>
          <t>Removed from portfolio 09/16/2026</t>
        </is>
      </c>
    </row>
    <row r="11">
      <c r="A11" s="11" t="inlineStr">
        <is>
          <t>MSR100354</t>
        </is>
      </c>
      <c r="B11" s="11" t="inlineStr">
        <is>
          <t>FNMA</t>
        </is>
      </c>
      <c r="C11" s="11" t="inlineStr">
        <is>
          <t>Conventional</t>
        </is>
      </c>
      <c r="D11" s="12" t="n">
        <v>46285</v>
      </c>
      <c r="E11" s="13" t="n">
        <v>275000</v>
      </c>
      <c r="F11" s="14" t="n">
        <v>233702.69</v>
      </c>
      <c r="G11" s="14" t="n">
        <v>234806.78</v>
      </c>
      <c r="H11" s="14" t="n">
        <v>856.91</v>
      </c>
      <c r="I11" s="15" t="n">
        <v>247.18</v>
      </c>
      <c r="J11" s="16" t="n">
        <v>0.044</v>
      </c>
      <c r="K11" s="11" t="inlineStr">
        <is>
          <t>Estate Payoff</t>
        </is>
      </c>
      <c r="L11" s="17" t="inlineStr">
        <is>
          <t>Removed from portfolio 09/20/2026</t>
        </is>
      </c>
    </row>
    <row r="12">
      <c r="A12" s="4" t="inlineStr">
        <is>
          <t>MSR205031</t>
        </is>
      </c>
      <c r="B12" s="4" t="inlineStr">
        <is>
          <t>FNMA</t>
        </is>
      </c>
      <c r="C12" s="4" t="inlineStr">
        <is>
          <t>Conventional</t>
        </is>
      </c>
      <c r="D12" s="5" t="n">
        <v>46268</v>
      </c>
      <c r="E12" s="6" t="n">
        <v>435000</v>
      </c>
      <c r="F12" s="7" t="n">
        <v>424100.98</v>
      </c>
      <c r="G12" s="7" t="n">
        <v>426428.88</v>
      </c>
      <c r="H12" s="7" t="n">
        <v>2230.06</v>
      </c>
      <c r="I12" s="8" t="n">
        <v>97.84</v>
      </c>
      <c r="J12" s="9" t="n">
        <v>0.0631</v>
      </c>
      <c r="K12" s="4" t="inlineStr">
        <is>
          <t>Sale Payoff</t>
        </is>
      </c>
      <c r="L12" s="10" t="inlineStr">
        <is>
          <t>Removed from portfolio 09/03/2026</t>
        </is>
      </c>
    </row>
    <row r="13">
      <c r="A13" s="11" t="inlineStr">
        <is>
          <t>MSR200177</t>
        </is>
      </c>
      <c r="B13" s="11" t="inlineStr">
        <is>
          <t>FHLMC</t>
        </is>
      </c>
      <c r="C13" s="11" t="inlineStr">
        <is>
          <t>Conventional</t>
        </is>
      </c>
      <c r="D13" s="12" t="n">
        <v>46289</v>
      </c>
      <c r="E13" s="13" t="n">
        <v>420000</v>
      </c>
      <c r="F13" s="14" t="n">
        <v>416723.94</v>
      </c>
      <c r="G13" s="14" t="n">
        <v>419628.16</v>
      </c>
      <c r="H13" s="14" t="n">
        <v>2566.32</v>
      </c>
      <c r="I13" s="15" t="n">
        <v>337.9</v>
      </c>
      <c r="J13" s="16" t="n">
        <v>0.07389999999999999</v>
      </c>
      <c r="K13" s="11" t="inlineStr">
        <is>
          <t>Refinance Payoff</t>
        </is>
      </c>
      <c r="L13" s="17" t="inlineStr">
        <is>
          <t>Removed from portfolio 09/24/2026</t>
        </is>
      </c>
    </row>
    <row r="14">
      <c r="A14" s="4" t="inlineStr">
        <is>
          <t>MSR100265</t>
        </is>
      </c>
      <c r="B14" s="4" t="inlineStr">
        <is>
          <t>FNMA</t>
        </is>
      </c>
      <c r="C14" s="4" t="inlineStr">
        <is>
          <t>USDA</t>
        </is>
      </c>
      <c r="D14" s="5" t="n">
        <v>46273</v>
      </c>
      <c r="E14" s="6" t="n">
        <v>190000</v>
      </c>
      <c r="F14" s="7" t="n">
        <v>167380.97</v>
      </c>
      <c r="G14" s="7" t="n">
        <v>168039.72</v>
      </c>
      <c r="H14" s="7" t="n">
        <v>433.8</v>
      </c>
      <c r="I14" s="8" t="n">
        <v>224.95</v>
      </c>
      <c r="J14" s="9" t="n">
        <v>0.0311</v>
      </c>
      <c r="K14" s="4" t="inlineStr">
        <is>
          <t>Refinance Payoff</t>
        </is>
      </c>
      <c r="L14" s="10" t="inlineStr">
        <is>
          <t>Removed from portfolio 09/08/2026</t>
        </is>
      </c>
    </row>
    <row r="15">
      <c r="A15" s="11" t="inlineStr">
        <is>
          <t>MSR206054</t>
        </is>
      </c>
      <c r="B15" s="11" t="inlineStr">
        <is>
          <t>GNMA</t>
        </is>
      </c>
      <c r="C15" s="11" t="inlineStr">
        <is>
          <t>Conventional</t>
        </is>
      </c>
      <c r="D15" s="12" t="n">
        <v>46275</v>
      </c>
      <c r="E15" s="13" t="n">
        <v>440000</v>
      </c>
      <c r="F15" s="14" t="n">
        <v>438736.17</v>
      </c>
      <c r="G15" s="14" t="n">
        <v>441053.47</v>
      </c>
      <c r="H15" s="14" t="n">
        <v>2277.77</v>
      </c>
      <c r="I15" s="15" t="n">
        <v>39.53</v>
      </c>
      <c r="J15" s="16" t="n">
        <v>0.0623</v>
      </c>
      <c r="K15" s="11" t="inlineStr">
        <is>
          <t>Refinance Payoff</t>
        </is>
      </c>
      <c r="L15" s="17" t="inlineStr">
        <is>
          <t>Removed from portfolio 09/10/2026</t>
        </is>
      </c>
    </row>
    <row r="16">
      <c r="A16" s="4" t="inlineStr">
        <is>
          <t>MSR207097</t>
        </is>
      </c>
      <c r="B16" s="4" t="inlineStr">
        <is>
          <t>GNMA</t>
        </is>
      </c>
      <c r="C16" s="4" t="inlineStr">
        <is>
          <t>Conventional</t>
        </is>
      </c>
      <c r="D16" s="5" t="n">
        <v>46277</v>
      </c>
      <c r="E16" s="6" t="n">
        <v>395000</v>
      </c>
      <c r="F16" s="7" t="n">
        <v>394265.66</v>
      </c>
      <c r="G16" s="7" t="n">
        <v>396552.04</v>
      </c>
      <c r="H16" s="7" t="n">
        <v>2092.89</v>
      </c>
      <c r="I16" s="8" t="n">
        <v>193.49</v>
      </c>
      <c r="J16" s="9" t="n">
        <v>0.06370000000000001</v>
      </c>
      <c r="K16" s="4" t="inlineStr">
        <is>
          <t>Refinance Payoff</t>
        </is>
      </c>
      <c r="L16" s="10" t="inlineStr">
        <is>
          <t>Removed from portfolio 09/12/2026</t>
        </is>
      </c>
    </row>
    <row r="17">
      <c r="A17" s="11" t="inlineStr">
        <is>
          <t>MSR206127</t>
        </is>
      </c>
      <c r="B17" s="11" t="inlineStr">
        <is>
          <t>FNMA</t>
        </is>
      </c>
      <c r="C17" s="11" t="inlineStr">
        <is>
          <t>USDA</t>
        </is>
      </c>
      <c r="D17" s="12" t="n">
        <v>46273</v>
      </c>
      <c r="E17" s="13" t="n">
        <v>330000</v>
      </c>
      <c r="F17" s="14" t="n">
        <v>328456.92</v>
      </c>
      <c r="G17" s="14" t="n">
        <v>330453.71</v>
      </c>
      <c r="H17" s="14" t="n">
        <v>1746.3</v>
      </c>
      <c r="I17" s="15" t="n">
        <v>250.49</v>
      </c>
      <c r="J17" s="16" t="n">
        <v>0.0638</v>
      </c>
      <c r="K17" s="11" t="inlineStr">
        <is>
          <t>Refinance Payoff</t>
        </is>
      </c>
      <c r="L17" s="17" t="inlineStr">
        <is>
          <t>Removed from portfolio 09/08/2026</t>
        </is>
      </c>
    </row>
    <row r="18">
      <c r="A18" s="4" t="inlineStr">
        <is>
          <t>MSR100260</t>
        </is>
      </c>
      <c r="B18" s="4" t="inlineStr">
        <is>
          <t>FNMA</t>
        </is>
      </c>
      <c r="C18" s="4" t="inlineStr">
        <is>
          <t>FHA</t>
        </is>
      </c>
      <c r="D18" s="5" t="n">
        <v>46283</v>
      </c>
      <c r="E18" s="6" t="n">
        <v>265000</v>
      </c>
      <c r="F18" s="7" t="n">
        <v>89742.86</v>
      </c>
      <c r="G18" s="7" t="n">
        <v>90289.82000000001</v>
      </c>
      <c r="H18" s="7" t="n">
        <v>321.58</v>
      </c>
      <c r="I18" s="8" t="n">
        <v>225.38</v>
      </c>
      <c r="J18" s="9" t="n">
        <v>0.043</v>
      </c>
      <c r="K18" s="4" t="inlineStr">
        <is>
          <t>Estate Payoff</t>
        </is>
      </c>
      <c r="L18" s="10" t="inlineStr">
        <is>
          <t>Removed from portfolio 09/18/2026</t>
        </is>
      </c>
    </row>
    <row r="19">
      <c r="A19" s="11" t="inlineStr">
        <is>
          <t>MSR203010</t>
        </is>
      </c>
      <c r="B19" s="11" t="inlineStr">
        <is>
          <t>FHLMC</t>
        </is>
      </c>
      <c r="C19" s="11" t="inlineStr">
        <is>
          <t>Conventional</t>
        </is>
      </c>
      <c r="D19" s="12" t="n">
        <v>46292</v>
      </c>
      <c r="E19" s="13" t="n">
        <v>380000</v>
      </c>
      <c r="F19" s="14" t="n">
        <v>377898.64</v>
      </c>
      <c r="G19" s="14" t="n">
        <v>380154.59</v>
      </c>
      <c r="H19" s="14" t="n">
        <v>2037.5</v>
      </c>
      <c r="I19" s="15" t="n">
        <v>218.45</v>
      </c>
      <c r="J19" s="16" t="n">
        <v>0.06469999999999999</v>
      </c>
      <c r="K19" s="11" t="inlineStr">
        <is>
          <t>Full Payoff</t>
        </is>
      </c>
      <c r="L19" s="17" t="inlineStr">
        <is>
          <t>Removed from portfolio 09/27/2026</t>
        </is>
      </c>
    </row>
    <row r="20">
      <c r="A20" s="4" t="inlineStr">
        <is>
          <t>MSR207060</t>
        </is>
      </c>
      <c r="B20" s="4" t="inlineStr">
        <is>
          <t>FHLMC</t>
        </is>
      </c>
      <c r="C20" s="4" t="inlineStr">
        <is>
          <t>Conventional</t>
        </is>
      </c>
      <c r="D20" s="5" t="n">
        <v>46277</v>
      </c>
      <c r="E20" s="6" t="n">
        <v>480000</v>
      </c>
      <c r="F20" s="7" t="n">
        <v>478663.05</v>
      </c>
      <c r="G20" s="7" t="n">
        <v>481296.74</v>
      </c>
      <c r="H20" s="7" t="n">
        <v>2548.88</v>
      </c>
      <c r="I20" s="8" t="n">
        <v>84.81</v>
      </c>
      <c r="J20" s="9" t="n">
        <v>0.0639</v>
      </c>
      <c r="K20" s="4" t="inlineStr">
        <is>
          <t>Full Payoff</t>
        </is>
      </c>
      <c r="L20" s="10" t="inlineStr">
        <is>
          <t>Removed from portfolio 09/12/2026</t>
        </is>
      </c>
    </row>
    <row r="21">
      <c r="A21" s="11" t="inlineStr">
        <is>
          <t>MSR100497</t>
        </is>
      </c>
      <c r="B21" s="11" t="inlineStr">
        <is>
          <t>FHLMC</t>
        </is>
      </c>
      <c r="C21" s="11" t="inlineStr">
        <is>
          <t>Conventional</t>
        </is>
      </c>
      <c r="D21" s="12" t="n">
        <v>46285</v>
      </c>
      <c r="E21" s="13" t="n">
        <v>420000</v>
      </c>
      <c r="F21" s="14" t="n">
        <v>373405.04</v>
      </c>
      <c r="G21" s="14" t="n">
        <v>374674.22</v>
      </c>
      <c r="H21" s="14" t="n">
        <v>1045.53</v>
      </c>
      <c r="I21" s="15" t="n">
        <v>223.65</v>
      </c>
      <c r="J21" s="16" t="n">
        <v>0.0336</v>
      </c>
      <c r="K21" s="11" t="inlineStr">
        <is>
          <t>Full Payoff</t>
        </is>
      </c>
      <c r="L21" s="17" t="inlineStr">
        <is>
          <t>Removed from portfolio 09/20/2026</t>
        </is>
      </c>
    </row>
    <row r="22">
      <c r="A22" s="4" t="inlineStr">
        <is>
          <t>MSR100414</t>
        </is>
      </c>
      <c r="B22" s="4" t="inlineStr">
        <is>
          <t>GNMA</t>
        </is>
      </c>
      <c r="C22" s="4" t="inlineStr">
        <is>
          <t>FHA</t>
        </is>
      </c>
      <c r="D22" s="5" t="n">
        <v>46277</v>
      </c>
      <c r="E22" s="6" t="n">
        <v>405000</v>
      </c>
      <c r="F22" s="7" t="n">
        <v>338733.63</v>
      </c>
      <c r="G22" s="7" t="n">
        <v>340268.12</v>
      </c>
      <c r="H22" s="7" t="n">
        <v>1338</v>
      </c>
      <c r="I22" s="8" t="n">
        <v>196.49</v>
      </c>
      <c r="J22" s="9" t="n">
        <v>0.0474</v>
      </c>
      <c r="K22" s="4" t="inlineStr">
        <is>
          <t>Estate Payoff</t>
        </is>
      </c>
      <c r="L22" s="10" t="inlineStr">
        <is>
          <t>Removed from portfolio 09/12/2026</t>
        </is>
      </c>
    </row>
    <row r="23">
      <c r="A23" s="11" t="inlineStr">
        <is>
          <t>MSR100927</t>
        </is>
      </c>
      <c r="B23" s="11" t="inlineStr">
        <is>
          <t>FHLMC</t>
        </is>
      </c>
      <c r="C23" s="11" t="inlineStr">
        <is>
          <t>Conventional</t>
        </is>
      </c>
      <c r="D23" s="12" t="n">
        <v>46285</v>
      </c>
      <c r="E23" s="13" t="n">
        <v>255000</v>
      </c>
      <c r="F23" s="14" t="n">
        <v>187035.16</v>
      </c>
      <c r="G23" s="14" t="n">
        <v>187715.66</v>
      </c>
      <c r="H23" s="14" t="n">
        <v>559.55</v>
      </c>
      <c r="I23" s="15" t="n">
        <v>120.95</v>
      </c>
      <c r="J23" s="16" t="n">
        <v>0.0359</v>
      </c>
      <c r="K23" s="11" t="inlineStr">
        <is>
          <t>Sale Payoff</t>
        </is>
      </c>
      <c r="L23" s="17" t="inlineStr">
        <is>
          <t>Removed from portfolio 09/20/2026</t>
        </is>
      </c>
    </row>
    <row r="24">
      <c r="A24" s="4" t="inlineStr">
        <is>
          <t>MSR204122</t>
        </is>
      </c>
      <c r="B24" s="4" t="inlineStr">
        <is>
          <t>FNMA</t>
        </is>
      </c>
      <c r="C24" s="4" t="inlineStr">
        <is>
          <t>VA</t>
        </is>
      </c>
      <c r="D24" s="5" t="n">
        <v>46278</v>
      </c>
      <c r="E24" s="6" t="n">
        <v>460000</v>
      </c>
      <c r="F24" s="7" t="n">
        <v>457331.65</v>
      </c>
      <c r="G24" s="7" t="n">
        <v>459985.17</v>
      </c>
      <c r="H24" s="7" t="n">
        <v>2370.5</v>
      </c>
      <c r="I24" s="8" t="n">
        <v>283.02</v>
      </c>
      <c r="J24" s="9" t="n">
        <v>0.0622</v>
      </c>
      <c r="K24" s="4" t="inlineStr">
        <is>
          <t>Refinance Payoff</t>
        </is>
      </c>
      <c r="L24" s="10" t="inlineStr">
        <is>
          <t>Removed from portfolio 09/13/2026</t>
        </is>
      </c>
    </row>
    <row r="25">
      <c r="A25" s="11" t="inlineStr">
        <is>
          <t>MSR100887</t>
        </is>
      </c>
      <c r="B25" s="11" t="inlineStr">
        <is>
          <t>FNMA</t>
        </is>
      </c>
      <c r="C25" s="11" t="inlineStr">
        <is>
          <t>Conventional</t>
        </is>
      </c>
      <c r="D25" s="12" t="n">
        <v>46271</v>
      </c>
      <c r="E25" s="13" t="n">
        <v>355000</v>
      </c>
      <c r="F25" s="14" t="n">
        <v>322572.46</v>
      </c>
      <c r="G25" s="14" t="n">
        <v>324524.82</v>
      </c>
      <c r="H25" s="14" t="n">
        <v>1873.61</v>
      </c>
      <c r="I25" s="15" t="n">
        <v>78.75</v>
      </c>
      <c r="J25" s="16" t="n">
        <v>0.0697</v>
      </c>
      <c r="K25" s="11" t="inlineStr">
        <is>
          <t>Refinance Payoff</t>
        </is>
      </c>
      <c r="L25" s="17" t="inlineStr">
        <is>
          <t>Removed from portfolio 09/06/2026</t>
        </is>
      </c>
    </row>
    <row r="26">
      <c r="A26" s="4" t="inlineStr">
        <is>
          <t>MSR206186</t>
        </is>
      </c>
      <c r="B26" s="4" t="inlineStr">
        <is>
          <t>FHLMC</t>
        </is>
      </c>
      <c r="C26" s="4" t="inlineStr">
        <is>
          <t>Conventional</t>
        </is>
      </c>
      <c r="D26" s="5" t="n">
        <v>46267</v>
      </c>
      <c r="E26" s="6" t="n">
        <v>340000</v>
      </c>
      <c r="F26" s="7" t="n">
        <v>339049.33</v>
      </c>
      <c r="G26" s="7" t="n">
        <v>340851.11</v>
      </c>
      <c r="H26" s="7" t="n">
        <v>1799.79</v>
      </c>
      <c r="I26" s="8" t="n">
        <v>1.99</v>
      </c>
      <c r="J26" s="9" t="n">
        <v>0.06370000000000001</v>
      </c>
      <c r="K26" s="4" t="inlineStr">
        <is>
          <t>Full Payoff</t>
        </is>
      </c>
      <c r="L26" s="10" t="inlineStr">
        <is>
          <t>Removed from portfolio 09/02/2026</t>
        </is>
      </c>
    </row>
    <row r="27">
      <c r="A27" s="11" t="inlineStr">
        <is>
          <t>MSR200118</t>
        </is>
      </c>
      <c r="B27" s="11" t="inlineStr">
        <is>
          <t>GNMA</t>
        </is>
      </c>
      <c r="C27" s="11" t="inlineStr">
        <is>
          <t>Conventional</t>
        </is>
      </c>
      <c r="D27" s="12" t="n">
        <v>46284</v>
      </c>
      <c r="E27" s="13" t="n">
        <v>390000</v>
      </c>
      <c r="F27" s="14" t="n">
        <v>386898.19</v>
      </c>
      <c r="G27" s="14" t="n">
        <v>389012.4</v>
      </c>
      <c r="H27" s="14" t="n">
        <v>1966.73</v>
      </c>
      <c r="I27" s="15" t="n">
        <v>147.48</v>
      </c>
      <c r="J27" s="16" t="n">
        <v>0.061</v>
      </c>
      <c r="K27" s="11" t="inlineStr">
        <is>
          <t>Refinance Payoff</t>
        </is>
      </c>
      <c r="L27" s="17" t="inlineStr">
        <is>
          <t>Removed from portfolio 09/19/2026</t>
        </is>
      </c>
    </row>
    <row r="28">
      <c r="A28" s="4" t="inlineStr">
        <is>
          <t>MSR205146</t>
        </is>
      </c>
      <c r="B28" s="4" t="inlineStr">
        <is>
          <t>FNMA</t>
        </is>
      </c>
      <c r="C28" s="4" t="inlineStr">
        <is>
          <t>FHA</t>
        </is>
      </c>
      <c r="D28" s="5" t="n">
        <v>46284</v>
      </c>
      <c r="E28" s="6" t="n">
        <v>340000</v>
      </c>
      <c r="F28" s="7" t="n">
        <v>338035.24</v>
      </c>
      <c r="G28" s="7" t="n">
        <v>339945.53</v>
      </c>
      <c r="H28" s="7" t="n">
        <v>1757.78</v>
      </c>
      <c r="I28" s="8" t="n">
        <v>152.51</v>
      </c>
      <c r="J28" s="9" t="n">
        <v>0.0624</v>
      </c>
      <c r="K28" s="4" t="inlineStr">
        <is>
          <t>Full Payoff</t>
        </is>
      </c>
      <c r="L28" s="10" t="inlineStr">
        <is>
          <t>Removed from portfolio 09/19/2026</t>
        </is>
      </c>
    </row>
    <row r="29">
      <c r="A29" s="11" t="inlineStr">
        <is>
          <t>MSR204126</t>
        </is>
      </c>
      <c r="B29" s="11" t="inlineStr">
        <is>
          <t>GNMA</t>
        </is>
      </c>
      <c r="C29" s="11" t="inlineStr">
        <is>
          <t>USDA</t>
        </is>
      </c>
      <c r="D29" s="12" t="n">
        <v>46283</v>
      </c>
      <c r="E29" s="13" t="n">
        <v>305000</v>
      </c>
      <c r="F29" s="14" t="n">
        <v>303244.22</v>
      </c>
      <c r="G29" s="14" t="n">
        <v>305115.17</v>
      </c>
      <c r="H29" s="14" t="n">
        <v>1581.92</v>
      </c>
      <c r="I29" s="15" t="n">
        <v>289.03</v>
      </c>
      <c r="J29" s="16" t="n">
        <v>0.0626</v>
      </c>
      <c r="K29" s="11" t="inlineStr">
        <is>
          <t>Full Payoff</t>
        </is>
      </c>
      <c r="L29" s="17" t="inlineStr">
        <is>
          <t>Removed from portfolio 09/18/2026</t>
        </is>
      </c>
    </row>
    <row r="30">
      <c r="A30" s="4" t="inlineStr">
        <is>
          <t>MSR100731</t>
        </is>
      </c>
      <c r="B30" s="4" t="inlineStr">
        <is>
          <t>GNMA</t>
        </is>
      </c>
      <c r="C30" s="4" t="inlineStr">
        <is>
          <t>Conventional</t>
        </is>
      </c>
      <c r="D30" s="5" t="n">
        <v>46288</v>
      </c>
      <c r="E30" s="6" t="n">
        <v>305000</v>
      </c>
      <c r="F30" s="7" t="n">
        <v>235229.58</v>
      </c>
      <c r="G30" s="7" t="n">
        <v>236095</v>
      </c>
      <c r="H30" s="7" t="n">
        <v>705.6900000000001</v>
      </c>
      <c r="I30" s="8" t="n">
        <v>159.73</v>
      </c>
      <c r="J30" s="9" t="n">
        <v>0.036</v>
      </c>
      <c r="K30" s="4" t="inlineStr">
        <is>
          <t>Refinance Payoff</t>
        </is>
      </c>
      <c r="L30" s="10" t="inlineStr">
        <is>
          <t>Removed from portfolio 09/23/2026</t>
        </is>
      </c>
    </row>
    <row r="31">
      <c r="A31" s="11" t="inlineStr">
        <is>
          <t>MSR206214</t>
        </is>
      </c>
      <c r="B31" s="11" t="inlineStr">
        <is>
          <t>FHLMC</t>
        </is>
      </c>
      <c r="C31" s="11" t="inlineStr">
        <is>
          <t>Conventional</t>
        </is>
      </c>
      <c r="D31" s="12" t="n">
        <v>46290</v>
      </c>
      <c r="E31" s="13" t="n">
        <v>370000</v>
      </c>
      <c r="F31" s="14" t="n">
        <v>368229.65</v>
      </c>
      <c r="G31" s="14" t="n">
        <v>370371.12</v>
      </c>
      <c r="H31" s="14" t="n">
        <v>1920.93</v>
      </c>
      <c r="I31" s="15" t="n">
        <v>220.54</v>
      </c>
      <c r="J31" s="16" t="n">
        <v>0.0626</v>
      </c>
      <c r="K31" s="11" t="inlineStr">
        <is>
          <t>Estate Payoff</t>
        </is>
      </c>
      <c r="L31" s="17" t="inlineStr">
        <is>
          <t>Removed from portfolio 09/25/2026</t>
        </is>
      </c>
    </row>
    <row r="32">
      <c r="A32" s="18" t="inlineStr">
        <is>
          <t>TOTALS</t>
        </is>
      </c>
      <c r="B32" s="19" t="n"/>
      <c r="C32" s="19" t="n"/>
      <c r="D32" s="19" t="n"/>
      <c r="E32" s="20">
        <f>SUM(E4:E31)</f>
        <v/>
      </c>
      <c r="F32" s="20">
        <f>SUM(F4:F31)</f>
        <v/>
      </c>
      <c r="G32" s="20">
        <f>SUM(G4:G31)</f>
        <v/>
      </c>
      <c r="H32" s="20">
        <f>SUM(H4:H31)</f>
        <v/>
      </c>
      <c r="I32" s="20">
        <f>SUM(I4:I31)</f>
        <v/>
      </c>
      <c r="J32" s="19" t="n"/>
      <c r="K32" s="19" t="n"/>
      <c r="L32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2026-02-22T20:27:08Z</dcterms:created>
  <dcterms:modified xmlns:dcterms="http://purl.org/dc/terms/" xmlns:xsi="http://www.w3.org/2001/XMLSchema-instance" xsi:type="dcterms:W3CDTF">2026-02-22T20:27:08Z</dcterms:modified>
</cp:coreProperties>
</file>