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Jun 2026  |  25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MSR100728</t>
        </is>
      </c>
      <c r="B4" s="4" t="inlineStr">
        <is>
          <t>FHLMC</t>
        </is>
      </c>
      <c r="C4" s="4" t="inlineStr">
        <is>
          <t>USDA</t>
        </is>
      </c>
      <c r="D4" s="5" t="n">
        <v>46175</v>
      </c>
      <c r="E4" s="6" t="n">
        <v>445000</v>
      </c>
      <c r="F4" s="7" t="n">
        <v>381775.2</v>
      </c>
      <c r="G4" s="7" t="n">
        <v>383467.37</v>
      </c>
      <c r="H4" s="7" t="n">
        <v>1581.19</v>
      </c>
      <c r="I4" s="8" t="n">
        <v>110.98</v>
      </c>
      <c r="J4" s="9" t="n">
        <v>0.0497</v>
      </c>
      <c r="K4" s="4" t="inlineStr">
        <is>
          <t>Refinance Payoff</t>
        </is>
      </c>
      <c r="L4" s="10" t="inlineStr">
        <is>
          <t>Removed from portfolio 06/02/2026</t>
        </is>
      </c>
    </row>
    <row r="5">
      <c r="A5" s="11" t="inlineStr">
        <is>
          <t>MSR100878</t>
        </is>
      </c>
      <c r="B5" s="11" t="inlineStr">
        <is>
          <t>GNMA</t>
        </is>
      </c>
      <c r="C5" s="11" t="inlineStr">
        <is>
          <t>Conventional</t>
        </is>
      </c>
      <c r="D5" s="12" t="n">
        <v>46197</v>
      </c>
      <c r="E5" s="13" t="n">
        <v>435000</v>
      </c>
      <c r="F5" s="14" t="n">
        <v>406899.13</v>
      </c>
      <c r="G5" s="14" t="n">
        <v>409622.47</v>
      </c>
      <c r="H5" s="14" t="n">
        <v>2393.92</v>
      </c>
      <c r="I5" s="15" t="n">
        <v>329.42</v>
      </c>
      <c r="J5" s="16" t="n">
        <v>0.0706</v>
      </c>
      <c r="K5" s="11" t="inlineStr">
        <is>
          <t>Full Payoff</t>
        </is>
      </c>
      <c r="L5" s="17" t="inlineStr">
        <is>
          <t>Removed from portfolio 06/24/2026</t>
        </is>
      </c>
    </row>
    <row r="6">
      <c r="A6" s="4" t="inlineStr">
        <is>
          <t>MSR202054</t>
        </is>
      </c>
      <c r="B6" s="4" t="inlineStr">
        <is>
          <t>FNMA</t>
        </is>
      </c>
      <c r="C6" s="4" t="inlineStr">
        <is>
          <t>Conventional</t>
        </is>
      </c>
      <c r="D6" s="5" t="n">
        <v>46178</v>
      </c>
      <c r="E6" s="6" t="n">
        <v>320000</v>
      </c>
      <c r="F6" s="7" t="n">
        <v>314649</v>
      </c>
      <c r="G6" s="7" t="n">
        <v>316610.86</v>
      </c>
      <c r="H6" s="7" t="n">
        <v>1691.24</v>
      </c>
      <c r="I6" s="8" t="n">
        <v>270.62</v>
      </c>
      <c r="J6" s="9" t="n">
        <v>0.0645</v>
      </c>
      <c r="K6" s="4" t="inlineStr">
        <is>
          <t>Refinance Payoff</t>
        </is>
      </c>
      <c r="L6" s="10" t="inlineStr">
        <is>
          <t>Removed from portfolio 06/05/2026</t>
        </is>
      </c>
    </row>
    <row r="7">
      <c r="A7" s="11" t="inlineStr">
        <is>
          <t>MSR100240</t>
        </is>
      </c>
      <c r="B7" s="11" t="inlineStr">
        <is>
          <t>FHLMC</t>
        </is>
      </c>
      <c r="C7" s="11" t="inlineStr">
        <is>
          <t>Conventional</t>
        </is>
      </c>
      <c r="D7" s="12" t="n">
        <v>46199</v>
      </c>
      <c r="E7" s="13" t="n">
        <v>210000</v>
      </c>
      <c r="F7" s="14" t="n">
        <v>174307.53</v>
      </c>
      <c r="G7" s="14" t="n">
        <v>175066.32</v>
      </c>
      <c r="H7" s="14" t="n">
        <v>623.15</v>
      </c>
      <c r="I7" s="15" t="n">
        <v>135.64</v>
      </c>
      <c r="J7" s="16" t="n">
        <v>0.0429</v>
      </c>
      <c r="K7" s="11" t="inlineStr">
        <is>
          <t>Refinance Payoff</t>
        </is>
      </c>
      <c r="L7" s="17" t="inlineStr">
        <is>
          <t>Removed from portfolio 06/26/2026</t>
        </is>
      </c>
    </row>
    <row r="8">
      <c r="A8" s="4" t="inlineStr">
        <is>
          <t>MSR100479</t>
        </is>
      </c>
      <c r="B8" s="4" t="inlineStr">
        <is>
          <t>FHLMC</t>
        </is>
      </c>
      <c r="C8" s="4" t="inlineStr">
        <is>
          <t>Conventional</t>
        </is>
      </c>
      <c r="D8" s="5" t="n">
        <v>46192</v>
      </c>
      <c r="E8" s="6" t="n">
        <v>285000</v>
      </c>
      <c r="F8" s="7" t="n">
        <v>171105.54</v>
      </c>
      <c r="G8" s="7" t="n">
        <v>171818.53</v>
      </c>
      <c r="H8" s="7" t="n">
        <v>509.04</v>
      </c>
      <c r="I8" s="8" t="n">
        <v>203.95</v>
      </c>
      <c r="J8" s="9" t="n">
        <v>0.0357</v>
      </c>
      <c r="K8" s="4" t="inlineStr">
        <is>
          <t>Refinance Payoff</t>
        </is>
      </c>
      <c r="L8" s="10" t="inlineStr">
        <is>
          <t>Removed from portfolio 06/19/2026</t>
        </is>
      </c>
    </row>
    <row r="9">
      <c r="A9" s="11" t="inlineStr">
        <is>
          <t>MSR100454</t>
        </is>
      </c>
      <c r="B9" s="11" t="inlineStr">
        <is>
          <t>FHLMC</t>
        </is>
      </c>
      <c r="C9" s="11" t="inlineStr">
        <is>
          <t>FHA</t>
        </is>
      </c>
      <c r="D9" s="12" t="n">
        <v>46179</v>
      </c>
      <c r="E9" s="13" t="n">
        <v>370000</v>
      </c>
      <c r="F9" s="14" t="n">
        <v>350707.05</v>
      </c>
      <c r="G9" s="14" t="n">
        <v>352640.86</v>
      </c>
      <c r="H9" s="14" t="n">
        <v>1727.23</v>
      </c>
      <c r="I9" s="15" t="n">
        <v>206.58</v>
      </c>
      <c r="J9" s="16" t="n">
        <v>0.0591</v>
      </c>
      <c r="K9" s="11" t="inlineStr">
        <is>
          <t>Estate Payoff</t>
        </is>
      </c>
      <c r="L9" s="17" t="inlineStr">
        <is>
          <t>Removed from portfolio 06/06/2026</t>
        </is>
      </c>
    </row>
    <row r="10">
      <c r="A10" s="4" t="inlineStr">
        <is>
          <t>MSR205164</t>
        </is>
      </c>
      <c r="B10" s="4" t="inlineStr">
        <is>
          <t>FHLMC</t>
        </is>
      </c>
      <c r="C10" s="4" t="inlineStr">
        <is>
          <t>Conventional</t>
        </is>
      </c>
      <c r="D10" s="5" t="n">
        <v>46187</v>
      </c>
      <c r="E10" s="6" t="n">
        <v>410000</v>
      </c>
      <c r="F10" s="7" t="n">
        <v>408844.74</v>
      </c>
      <c r="G10" s="7" t="n">
        <v>411124.22</v>
      </c>
      <c r="H10" s="7" t="n">
        <v>2156.66</v>
      </c>
      <c r="I10" s="8" t="n">
        <v>122.82</v>
      </c>
      <c r="J10" s="9" t="n">
        <v>0.0633</v>
      </c>
      <c r="K10" s="4" t="inlineStr">
        <is>
          <t>Refinance Payoff</t>
        </is>
      </c>
      <c r="L10" s="10" t="inlineStr">
        <is>
          <t>Removed from portfolio 06/14/2026</t>
        </is>
      </c>
    </row>
    <row r="11">
      <c r="A11" s="11" t="inlineStr">
        <is>
          <t>MSR100021</t>
        </is>
      </c>
      <c r="B11" s="11" t="inlineStr">
        <is>
          <t>FNMA</t>
        </is>
      </c>
      <c r="C11" s="11" t="inlineStr">
        <is>
          <t>FHA</t>
        </is>
      </c>
      <c r="D11" s="12" t="n">
        <v>46192</v>
      </c>
      <c r="E11" s="13" t="n">
        <v>330000</v>
      </c>
      <c r="F11" s="14" t="n">
        <v>112174.93</v>
      </c>
      <c r="G11" s="14" t="n">
        <v>112697.96</v>
      </c>
      <c r="H11" s="14" t="n">
        <v>336.52</v>
      </c>
      <c r="I11" s="15" t="n">
        <v>186.51</v>
      </c>
      <c r="J11" s="16" t="n">
        <v>0.036</v>
      </c>
      <c r="K11" s="11" t="inlineStr">
        <is>
          <t>Refinance Payoff</t>
        </is>
      </c>
      <c r="L11" s="17" t="inlineStr">
        <is>
          <t>Removed from portfolio 06/19/2026</t>
        </is>
      </c>
    </row>
    <row r="12">
      <c r="A12" s="4" t="inlineStr">
        <is>
          <t>MSR100508</t>
        </is>
      </c>
      <c r="B12" s="4" t="inlineStr">
        <is>
          <t>GNMA</t>
        </is>
      </c>
      <c r="C12" s="4" t="inlineStr">
        <is>
          <t>Conventional</t>
        </is>
      </c>
      <c r="D12" s="5" t="n">
        <v>46195</v>
      </c>
      <c r="E12" s="6" t="n">
        <v>310000</v>
      </c>
      <c r="F12" s="7" t="n">
        <v>282281.99</v>
      </c>
      <c r="G12" s="7" t="n">
        <v>284055.62</v>
      </c>
      <c r="H12" s="7" t="n">
        <v>1733.68</v>
      </c>
      <c r="I12" s="8" t="n">
        <v>39.95</v>
      </c>
      <c r="J12" s="9" t="n">
        <v>0.0737</v>
      </c>
      <c r="K12" s="4" t="inlineStr">
        <is>
          <t>Full Payoff</t>
        </is>
      </c>
      <c r="L12" s="10" t="inlineStr">
        <is>
          <t>Removed from portfolio 06/22/2026</t>
        </is>
      </c>
    </row>
    <row r="13">
      <c r="A13" s="11" t="inlineStr">
        <is>
          <t>MSR100047</t>
        </is>
      </c>
      <c r="B13" s="11" t="inlineStr">
        <is>
          <t>FHLMC</t>
        </is>
      </c>
      <c r="C13" s="11" t="inlineStr">
        <is>
          <t>Conventional</t>
        </is>
      </c>
      <c r="D13" s="12" t="n">
        <v>46191</v>
      </c>
      <c r="E13" s="13" t="n">
        <v>270000</v>
      </c>
      <c r="F13" s="14" t="n">
        <v>227549.37</v>
      </c>
      <c r="G13" s="14" t="n">
        <v>228471.13</v>
      </c>
      <c r="H13" s="14" t="n">
        <v>771.77</v>
      </c>
      <c r="I13" s="15" t="n">
        <v>149.99</v>
      </c>
      <c r="J13" s="16" t="n">
        <v>0.0407</v>
      </c>
      <c r="K13" s="11" t="inlineStr">
        <is>
          <t>Full Payoff</t>
        </is>
      </c>
      <c r="L13" s="17" t="inlineStr">
        <is>
          <t>Removed from portfolio 06/18/2026</t>
        </is>
      </c>
    </row>
    <row r="14">
      <c r="A14" s="4" t="inlineStr">
        <is>
          <t>MSR100487</t>
        </is>
      </c>
      <c r="B14" s="4" t="inlineStr">
        <is>
          <t>FNMA</t>
        </is>
      </c>
      <c r="C14" s="4" t="inlineStr">
        <is>
          <t>Conventional</t>
        </is>
      </c>
      <c r="D14" s="5" t="n">
        <v>46195</v>
      </c>
      <c r="E14" s="6" t="n">
        <v>450000</v>
      </c>
      <c r="F14" s="7" t="n">
        <v>397075.35</v>
      </c>
      <c r="G14" s="7" t="n">
        <v>398181.17</v>
      </c>
      <c r="H14" s="7" t="n">
        <v>979.45</v>
      </c>
      <c r="I14" s="8" t="n">
        <v>126.37</v>
      </c>
      <c r="J14" s="9" t="n">
        <v>0.0296</v>
      </c>
      <c r="K14" s="4" t="inlineStr">
        <is>
          <t>Full Payoff</t>
        </is>
      </c>
      <c r="L14" s="10" t="inlineStr">
        <is>
          <t>Removed from portfolio 06/22/2026</t>
        </is>
      </c>
    </row>
    <row r="15">
      <c r="A15" s="11" t="inlineStr">
        <is>
          <t>MSR100439</t>
        </is>
      </c>
      <c r="B15" s="11" t="inlineStr">
        <is>
          <t>GNMA</t>
        </is>
      </c>
      <c r="C15" s="11" t="inlineStr">
        <is>
          <t>Conventional</t>
        </is>
      </c>
      <c r="D15" s="12" t="n">
        <v>46175</v>
      </c>
      <c r="E15" s="13" t="n">
        <v>360000</v>
      </c>
      <c r="F15" s="14" t="n">
        <v>302925.97</v>
      </c>
      <c r="G15" s="14" t="n">
        <v>304323.48</v>
      </c>
      <c r="H15" s="14" t="n">
        <v>1146.07</v>
      </c>
      <c r="I15" s="15" t="n">
        <v>251.44</v>
      </c>
      <c r="J15" s="16" t="n">
        <v>0.0454</v>
      </c>
      <c r="K15" s="11" t="inlineStr">
        <is>
          <t>Sale Payoff</t>
        </is>
      </c>
      <c r="L15" s="17" t="inlineStr">
        <is>
          <t>Removed from portfolio 06/02/2026</t>
        </is>
      </c>
    </row>
    <row r="16">
      <c r="A16" s="4" t="inlineStr">
        <is>
          <t>MSR100562</t>
        </is>
      </c>
      <c r="B16" s="4" t="inlineStr">
        <is>
          <t>FHLMC</t>
        </is>
      </c>
      <c r="C16" s="4" t="inlineStr">
        <is>
          <t>Conventional</t>
        </is>
      </c>
      <c r="D16" s="5" t="n">
        <v>46183</v>
      </c>
      <c r="E16" s="6" t="n">
        <v>280000</v>
      </c>
      <c r="F16" s="7" t="n">
        <v>235897.36</v>
      </c>
      <c r="G16" s="7" t="n">
        <v>236876.4</v>
      </c>
      <c r="H16" s="7" t="n">
        <v>884.62</v>
      </c>
      <c r="I16" s="8" t="n">
        <v>94.42</v>
      </c>
      <c r="J16" s="9" t="n">
        <v>0.045</v>
      </c>
      <c r="K16" s="4" t="inlineStr">
        <is>
          <t>Sale Payoff</t>
        </is>
      </c>
      <c r="L16" s="10" t="inlineStr">
        <is>
          <t>Removed from portfolio 06/10/2026</t>
        </is>
      </c>
    </row>
    <row r="17">
      <c r="A17" s="11" t="inlineStr">
        <is>
          <t>MSR100894</t>
        </is>
      </c>
      <c r="B17" s="11" t="inlineStr">
        <is>
          <t>GNMA</t>
        </is>
      </c>
      <c r="C17" s="11" t="inlineStr">
        <is>
          <t>FHA</t>
        </is>
      </c>
      <c r="D17" s="12" t="n">
        <v>46191</v>
      </c>
      <c r="E17" s="13" t="n">
        <v>400000</v>
      </c>
      <c r="F17" s="14" t="n">
        <v>392397.78</v>
      </c>
      <c r="G17" s="14" t="n">
        <v>395116.63</v>
      </c>
      <c r="H17" s="14" t="n">
        <v>2387.09</v>
      </c>
      <c r="I17" s="15" t="n">
        <v>331.76</v>
      </c>
      <c r="J17" s="16" t="n">
        <v>0.073</v>
      </c>
      <c r="K17" s="11" t="inlineStr">
        <is>
          <t>Refinance Payoff</t>
        </is>
      </c>
      <c r="L17" s="17" t="inlineStr">
        <is>
          <t>Removed from portfolio 06/18/2026</t>
        </is>
      </c>
    </row>
    <row r="18">
      <c r="A18" s="4" t="inlineStr">
        <is>
          <t>MSR200024</t>
        </is>
      </c>
      <c r="B18" s="4" t="inlineStr">
        <is>
          <t>FNMA</t>
        </is>
      </c>
      <c r="C18" s="4" t="inlineStr">
        <is>
          <t>VA</t>
        </is>
      </c>
      <c r="D18" s="5" t="n">
        <v>46186</v>
      </c>
      <c r="E18" s="6" t="n">
        <v>405000</v>
      </c>
      <c r="F18" s="7" t="n">
        <v>403270.75</v>
      </c>
      <c r="G18" s="7" t="n">
        <v>405796.56</v>
      </c>
      <c r="H18" s="7" t="n">
        <v>2302</v>
      </c>
      <c r="I18" s="8" t="n">
        <v>223.81</v>
      </c>
      <c r="J18" s="9" t="n">
        <v>0.06850000000000001</v>
      </c>
      <c r="K18" s="4" t="inlineStr">
        <is>
          <t>Full Payoff</t>
        </is>
      </c>
      <c r="L18" s="10" t="inlineStr">
        <is>
          <t>Removed from portfolio 06/13/2026</t>
        </is>
      </c>
    </row>
    <row r="19">
      <c r="A19" s="11" t="inlineStr">
        <is>
          <t>MSR100967</t>
        </is>
      </c>
      <c r="B19" s="11" t="inlineStr">
        <is>
          <t>GNMA</t>
        </is>
      </c>
      <c r="C19" s="11" t="inlineStr">
        <is>
          <t>Conventional</t>
        </is>
      </c>
      <c r="D19" s="12" t="n">
        <v>46195</v>
      </c>
      <c r="E19" s="13" t="n">
        <v>375000</v>
      </c>
      <c r="F19" s="14" t="n">
        <v>316447.73</v>
      </c>
      <c r="G19" s="14" t="n">
        <v>317344.1</v>
      </c>
      <c r="H19" s="14" t="n">
        <v>814.85</v>
      </c>
      <c r="I19" s="15" t="n">
        <v>81.52</v>
      </c>
      <c r="J19" s="16" t="n">
        <v>0.0309</v>
      </c>
      <c r="K19" s="11" t="inlineStr">
        <is>
          <t>Full Payoff</t>
        </is>
      </c>
      <c r="L19" s="17" t="inlineStr">
        <is>
          <t>Removed from portfolio 06/22/2026</t>
        </is>
      </c>
    </row>
    <row r="20">
      <c r="A20" s="4" t="inlineStr">
        <is>
          <t>MSR100147</t>
        </is>
      </c>
      <c r="B20" s="4" t="inlineStr">
        <is>
          <t>FNMA</t>
        </is>
      </c>
      <c r="C20" s="4" t="inlineStr">
        <is>
          <t>Conventional</t>
        </is>
      </c>
      <c r="D20" s="5" t="n">
        <v>46199</v>
      </c>
      <c r="E20" s="6" t="n">
        <v>275000</v>
      </c>
      <c r="F20" s="7" t="n">
        <v>240792.9</v>
      </c>
      <c r="G20" s="7" t="n">
        <v>241428.28</v>
      </c>
      <c r="H20" s="7" t="n">
        <v>585.9299999999999</v>
      </c>
      <c r="I20" s="8" t="n">
        <v>49.45</v>
      </c>
      <c r="J20" s="9" t="n">
        <v>0.0292</v>
      </c>
      <c r="K20" s="4" t="inlineStr">
        <is>
          <t>Refinance Payoff</t>
        </is>
      </c>
      <c r="L20" s="10" t="inlineStr">
        <is>
          <t>Removed from portfolio 06/26/2026</t>
        </is>
      </c>
    </row>
    <row r="21">
      <c r="A21" s="11" t="inlineStr">
        <is>
          <t>MSR204069</t>
        </is>
      </c>
      <c r="B21" s="11" t="inlineStr">
        <is>
          <t>GNMA</t>
        </is>
      </c>
      <c r="C21" s="11" t="inlineStr">
        <is>
          <t>Conventional</t>
        </is>
      </c>
      <c r="D21" s="12" t="n">
        <v>46175</v>
      </c>
      <c r="E21" s="13" t="n">
        <v>300000</v>
      </c>
      <c r="F21" s="14" t="n">
        <v>299143.24</v>
      </c>
      <c r="G21" s="14" t="n">
        <v>300746.99</v>
      </c>
      <c r="H21" s="14" t="n">
        <v>1560.53</v>
      </c>
      <c r="I21" s="15" t="n">
        <v>43.22</v>
      </c>
      <c r="J21" s="16" t="n">
        <v>0.0626</v>
      </c>
      <c r="K21" s="11" t="inlineStr">
        <is>
          <t>Sale Payoff</t>
        </is>
      </c>
      <c r="L21" s="17" t="inlineStr">
        <is>
          <t>Removed from portfolio 06/02/2026</t>
        </is>
      </c>
    </row>
    <row r="22">
      <c r="A22" s="4" t="inlineStr">
        <is>
          <t>MSR203154</t>
        </is>
      </c>
      <c r="B22" s="4" t="inlineStr">
        <is>
          <t>FNMA</t>
        </is>
      </c>
      <c r="C22" s="4" t="inlineStr">
        <is>
          <t>FHA</t>
        </is>
      </c>
      <c r="D22" s="5" t="n">
        <v>46185</v>
      </c>
      <c r="E22" s="6" t="n">
        <v>275000</v>
      </c>
      <c r="F22" s="7" t="n">
        <v>274188.65</v>
      </c>
      <c r="G22" s="7" t="n">
        <v>275801.93</v>
      </c>
      <c r="H22" s="7" t="n">
        <v>1391.51</v>
      </c>
      <c r="I22" s="8" t="n">
        <v>221.77</v>
      </c>
      <c r="J22" s="9" t="n">
        <v>0.0609</v>
      </c>
      <c r="K22" s="4" t="inlineStr">
        <is>
          <t>Refinance Payoff</t>
        </is>
      </c>
      <c r="L22" s="10" t="inlineStr">
        <is>
          <t>Removed from portfolio 06/12/2026</t>
        </is>
      </c>
    </row>
    <row r="23">
      <c r="A23" s="11" t="inlineStr">
        <is>
          <t>MSR100277</t>
        </is>
      </c>
      <c r="B23" s="11" t="inlineStr">
        <is>
          <t>FHLMC</t>
        </is>
      </c>
      <c r="C23" s="11" t="inlineStr">
        <is>
          <t>Conventional</t>
        </is>
      </c>
      <c r="D23" s="12" t="n">
        <v>46195</v>
      </c>
      <c r="E23" s="13" t="n">
        <v>375000</v>
      </c>
      <c r="F23" s="14" t="n">
        <v>354972.79</v>
      </c>
      <c r="G23" s="14" t="n">
        <v>356857.13</v>
      </c>
      <c r="H23" s="14" t="n">
        <v>1706.83</v>
      </c>
      <c r="I23" s="15" t="n">
        <v>177.51</v>
      </c>
      <c r="J23" s="16" t="n">
        <v>0.0577</v>
      </c>
      <c r="K23" s="11" t="inlineStr">
        <is>
          <t>Full Payoff</t>
        </is>
      </c>
      <c r="L23" s="17" t="inlineStr">
        <is>
          <t>Removed from portfolio 06/22/2026</t>
        </is>
      </c>
    </row>
    <row r="24">
      <c r="A24" s="4" t="inlineStr">
        <is>
          <t>MSR203106</t>
        </is>
      </c>
      <c r="B24" s="4" t="inlineStr">
        <is>
          <t>FNMA</t>
        </is>
      </c>
      <c r="C24" s="4" t="inlineStr">
        <is>
          <t>Conventional</t>
        </is>
      </c>
      <c r="D24" s="5" t="n">
        <v>46190</v>
      </c>
      <c r="E24" s="6" t="n">
        <v>430000</v>
      </c>
      <c r="F24" s="7" t="n">
        <v>428767.24</v>
      </c>
      <c r="G24" s="7" t="n">
        <v>431093.16</v>
      </c>
      <c r="H24" s="7" t="n">
        <v>2229.59</v>
      </c>
      <c r="I24" s="8" t="n">
        <v>96.33</v>
      </c>
      <c r="J24" s="9" t="n">
        <v>0.0624</v>
      </c>
      <c r="K24" s="4" t="inlineStr">
        <is>
          <t>Full Payoff</t>
        </is>
      </c>
      <c r="L24" s="10" t="inlineStr">
        <is>
          <t>Removed from portfolio 06/17/2026</t>
        </is>
      </c>
    </row>
    <row r="25">
      <c r="A25" s="11" t="inlineStr">
        <is>
          <t>MSR205212</t>
        </is>
      </c>
      <c r="B25" s="11" t="inlineStr">
        <is>
          <t>FNMA</t>
        </is>
      </c>
      <c r="C25" s="11" t="inlineStr">
        <is>
          <t>Conventional</t>
        </is>
      </c>
      <c r="D25" s="12" t="n">
        <v>46187</v>
      </c>
      <c r="E25" s="13" t="n">
        <v>320000</v>
      </c>
      <c r="F25" s="14" t="n">
        <v>318663.07</v>
      </c>
      <c r="G25" s="14" t="n">
        <v>320572.91</v>
      </c>
      <c r="H25" s="14" t="n">
        <v>1678.29</v>
      </c>
      <c r="I25" s="15" t="n">
        <v>231.55</v>
      </c>
      <c r="J25" s="16" t="n">
        <v>0.06320000000000001</v>
      </c>
      <c r="K25" s="11" t="inlineStr">
        <is>
          <t>Estate Payoff</t>
        </is>
      </c>
      <c r="L25" s="17" t="inlineStr">
        <is>
          <t>Removed from portfolio 06/14/2026</t>
        </is>
      </c>
    </row>
    <row r="26">
      <c r="A26" s="4" t="inlineStr">
        <is>
          <t>MSR100937</t>
        </is>
      </c>
      <c r="B26" s="4" t="inlineStr">
        <is>
          <t>FHLMC</t>
        </is>
      </c>
      <c r="C26" s="4" t="inlineStr">
        <is>
          <t>Conventional</t>
        </is>
      </c>
      <c r="D26" s="5" t="n">
        <v>46179</v>
      </c>
      <c r="E26" s="6" t="n">
        <v>240000</v>
      </c>
      <c r="F26" s="7" t="n">
        <v>207748.56</v>
      </c>
      <c r="G26" s="7" t="n">
        <v>208962.59</v>
      </c>
      <c r="H26" s="7" t="n">
        <v>865.62</v>
      </c>
      <c r="I26" s="8" t="n">
        <v>348.41</v>
      </c>
      <c r="J26" s="9" t="n">
        <v>0.05</v>
      </c>
      <c r="K26" s="4" t="inlineStr">
        <is>
          <t>Sale Payoff</t>
        </is>
      </c>
      <c r="L26" s="10" t="inlineStr">
        <is>
          <t>Removed from portfolio 06/06/2026</t>
        </is>
      </c>
    </row>
    <row r="27">
      <c r="A27" s="11" t="inlineStr">
        <is>
          <t>MSR204171</t>
        </is>
      </c>
      <c r="B27" s="11" t="inlineStr">
        <is>
          <t>FHLMC</t>
        </is>
      </c>
      <c r="C27" s="11" t="inlineStr">
        <is>
          <t>Conventional</t>
        </is>
      </c>
      <c r="D27" s="12" t="n">
        <v>46182</v>
      </c>
      <c r="E27" s="13" t="n">
        <v>385000</v>
      </c>
      <c r="F27" s="14" t="n">
        <v>383874.9</v>
      </c>
      <c r="G27" s="14" t="n">
        <v>386136.9</v>
      </c>
      <c r="H27" s="14" t="n">
        <v>1964.16</v>
      </c>
      <c r="I27" s="15" t="n">
        <v>297.84</v>
      </c>
      <c r="J27" s="16" t="n">
        <v>0.0614</v>
      </c>
      <c r="K27" s="11" t="inlineStr">
        <is>
          <t>Full Payoff</t>
        </is>
      </c>
      <c r="L27" s="17" t="inlineStr">
        <is>
          <t>Removed from portfolio 06/09/2026</t>
        </is>
      </c>
    </row>
    <row r="28">
      <c r="A28" s="4" t="inlineStr">
        <is>
          <t>MSR100998</t>
        </is>
      </c>
      <c r="B28" s="4" t="inlineStr">
        <is>
          <t>FHLMC</t>
        </is>
      </c>
      <c r="C28" s="4" t="inlineStr">
        <is>
          <t>VA</t>
        </is>
      </c>
      <c r="D28" s="5" t="n">
        <v>46194</v>
      </c>
      <c r="E28" s="6" t="n">
        <v>275000</v>
      </c>
      <c r="F28" s="7" t="n">
        <v>233197.55</v>
      </c>
      <c r="G28" s="7" t="n">
        <v>234161.38</v>
      </c>
      <c r="H28" s="7" t="n">
        <v>890.04</v>
      </c>
      <c r="I28" s="8" t="n">
        <v>73.79000000000001</v>
      </c>
      <c r="J28" s="9" t="n">
        <v>0.0458</v>
      </c>
      <c r="K28" s="4" t="inlineStr">
        <is>
          <t>Refinance Payoff</t>
        </is>
      </c>
      <c r="L28" s="10" t="inlineStr">
        <is>
          <t>Removed from portfolio 06/21/2026</t>
        </is>
      </c>
    </row>
    <row r="29">
      <c r="A29" s="18" t="inlineStr">
        <is>
          <t>TOTALS</t>
        </is>
      </c>
      <c r="B29" s="19" t="n"/>
      <c r="C29" s="19" t="n"/>
      <c r="D29" s="19" t="n"/>
      <c r="E29" s="20">
        <f>SUM(E4:E28)</f>
        <v/>
      </c>
      <c r="F29" s="20">
        <f>SUM(F4:F28)</f>
        <v/>
      </c>
      <c r="G29" s="20">
        <f>SUM(G4:G28)</f>
        <v/>
      </c>
      <c r="H29" s="20">
        <f>SUM(H4:H28)</f>
        <v/>
      </c>
      <c r="I29" s="20">
        <f>SUM(I4:I28)</f>
        <v/>
      </c>
      <c r="J29" s="19" t="n"/>
      <c r="K29" s="19" t="n"/>
      <c r="L29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2026-02-22T20:26:52Z</dcterms:created>
  <dcterms:modified xmlns:dcterms="http://purl.org/dc/terms/" xmlns:xsi="http://www.w3.org/2001/XMLSchema-instance" xsi:type="dcterms:W3CDTF">2026-02-22T20:26:52Z</dcterms:modified>
</cp:coreProperties>
</file>