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Jul 2026  |  28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MSR206219</t>
        </is>
      </c>
      <c r="B4" s="4" t="inlineStr">
        <is>
          <t>FNMA</t>
        </is>
      </c>
      <c r="C4" s="4" t="inlineStr">
        <is>
          <t>Conventional</t>
        </is>
      </c>
      <c r="D4" s="5" t="n">
        <v>46213</v>
      </c>
      <c r="E4" s="6" t="n">
        <v>355000</v>
      </c>
      <c r="F4" s="7" t="n">
        <v>352734.79</v>
      </c>
      <c r="G4" s="7" t="n">
        <v>354617.07</v>
      </c>
      <c r="H4" s="7" t="n">
        <v>1819.52</v>
      </c>
      <c r="I4" s="8" t="n">
        <v>62.76</v>
      </c>
      <c r="J4" s="9" t="n">
        <v>0.0619</v>
      </c>
      <c r="K4" s="4" t="inlineStr">
        <is>
          <t>Refinance Payoff</t>
        </is>
      </c>
      <c r="L4" s="10" t="inlineStr">
        <is>
          <t>Removed from portfolio 07/10/2026</t>
        </is>
      </c>
    </row>
    <row r="5">
      <c r="A5" s="11" t="inlineStr">
        <is>
          <t>MSR100873</t>
        </is>
      </c>
      <c r="B5" s="11" t="inlineStr">
        <is>
          <t>FHLMC</t>
        </is>
      </c>
      <c r="C5" s="11" t="inlineStr">
        <is>
          <t>USDA</t>
        </is>
      </c>
      <c r="D5" s="12" t="n">
        <v>46215</v>
      </c>
      <c r="E5" s="13" t="n">
        <v>210000</v>
      </c>
      <c r="F5" s="14" t="n">
        <v>199973.47</v>
      </c>
      <c r="G5" s="14" t="n">
        <v>201164.63</v>
      </c>
      <c r="H5" s="14" t="n">
        <v>1138.18</v>
      </c>
      <c r="I5" s="15" t="n">
        <v>52.98</v>
      </c>
      <c r="J5" s="16" t="n">
        <v>0.0683</v>
      </c>
      <c r="K5" s="11" t="inlineStr">
        <is>
          <t>Full Payoff</t>
        </is>
      </c>
      <c r="L5" s="17" t="inlineStr">
        <is>
          <t>Removed from portfolio 07/12/2026</t>
        </is>
      </c>
    </row>
    <row r="6">
      <c r="A6" s="4" t="inlineStr">
        <is>
          <t>MSR100088</t>
        </is>
      </c>
      <c r="B6" s="4" t="inlineStr">
        <is>
          <t>GNMA</t>
        </is>
      </c>
      <c r="C6" s="4" t="inlineStr">
        <is>
          <t>Conventional</t>
        </is>
      </c>
      <c r="D6" s="5" t="n">
        <v>46206</v>
      </c>
      <c r="E6" s="6" t="n">
        <v>200000</v>
      </c>
      <c r="F6" s="7" t="n">
        <v>194974.74</v>
      </c>
      <c r="G6" s="7" t="n">
        <v>195995.35</v>
      </c>
      <c r="H6" s="7" t="n">
        <v>1020.37</v>
      </c>
      <c r="I6" s="8" t="n">
        <v>0.24</v>
      </c>
      <c r="J6" s="9" t="n">
        <v>0.06279999999999999</v>
      </c>
      <c r="K6" s="4" t="inlineStr">
        <is>
          <t>Estate Payoff</t>
        </is>
      </c>
      <c r="L6" s="10" t="inlineStr">
        <is>
          <t>Removed from portfolio 07/03/2026</t>
        </is>
      </c>
    </row>
    <row r="7">
      <c r="A7" s="11" t="inlineStr">
        <is>
          <t>MSR100616</t>
        </is>
      </c>
      <c r="B7" s="11" t="inlineStr">
        <is>
          <t>FHLMC</t>
        </is>
      </c>
      <c r="C7" s="11" t="inlineStr">
        <is>
          <t>Conventional</t>
        </is>
      </c>
      <c r="D7" s="12" t="n">
        <v>46228</v>
      </c>
      <c r="E7" s="13" t="n">
        <v>360000</v>
      </c>
      <c r="F7" s="14" t="n">
        <v>349201.67</v>
      </c>
      <c r="G7" s="14" t="n">
        <v>351810.96</v>
      </c>
      <c r="H7" s="14" t="n">
        <v>2316.37</v>
      </c>
      <c r="I7" s="15" t="n">
        <v>292.92</v>
      </c>
      <c r="J7" s="16" t="n">
        <v>0.0796</v>
      </c>
      <c r="K7" s="11" t="inlineStr">
        <is>
          <t>Full Payoff</t>
        </is>
      </c>
      <c r="L7" s="17" t="inlineStr">
        <is>
          <t>Removed from portfolio 07/25/2026</t>
        </is>
      </c>
    </row>
    <row r="8">
      <c r="A8" s="4" t="inlineStr">
        <is>
          <t>MSR200168</t>
        </is>
      </c>
      <c r="B8" s="4" t="inlineStr">
        <is>
          <t>GNMA</t>
        </is>
      </c>
      <c r="C8" s="4" t="inlineStr">
        <is>
          <t>Conventional</t>
        </is>
      </c>
      <c r="D8" s="5" t="n">
        <v>46224</v>
      </c>
      <c r="E8" s="6" t="n">
        <v>220000</v>
      </c>
      <c r="F8" s="7" t="n">
        <v>218821.57</v>
      </c>
      <c r="G8" s="7" t="n">
        <v>220314.93</v>
      </c>
      <c r="H8" s="7" t="n">
        <v>1356.69</v>
      </c>
      <c r="I8" s="8" t="n">
        <v>136.67</v>
      </c>
      <c r="J8" s="9" t="n">
        <v>0.07439999999999999</v>
      </c>
      <c r="K8" s="4" t="inlineStr">
        <is>
          <t>Refinance Payoff</t>
        </is>
      </c>
      <c r="L8" s="10" t="inlineStr">
        <is>
          <t>Removed from portfolio 07/21/2026</t>
        </is>
      </c>
    </row>
    <row r="9">
      <c r="A9" s="11" t="inlineStr">
        <is>
          <t>MSR100774</t>
        </is>
      </c>
      <c r="B9" s="11" t="inlineStr">
        <is>
          <t>FHLMC</t>
        </is>
      </c>
      <c r="C9" s="11" t="inlineStr">
        <is>
          <t>VA</t>
        </is>
      </c>
      <c r="D9" s="12" t="n">
        <v>46219</v>
      </c>
      <c r="E9" s="13" t="n">
        <v>400000</v>
      </c>
      <c r="F9" s="14" t="n">
        <v>379210.78</v>
      </c>
      <c r="G9" s="14" t="n">
        <v>381055.98</v>
      </c>
      <c r="H9" s="14" t="n">
        <v>1782.29</v>
      </c>
      <c r="I9" s="15" t="n">
        <v>62.91</v>
      </c>
      <c r="J9" s="16" t="n">
        <v>0.0564</v>
      </c>
      <c r="K9" s="11" t="inlineStr">
        <is>
          <t>Estate Payoff</t>
        </is>
      </c>
      <c r="L9" s="17" t="inlineStr">
        <is>
          <t>Removed from portfolio 07/16/2026</t>
        </is>
      </c>
    </row>
    <row r="10">
      <c r="A10" s="4" t="inlineStr">
        <is>
          <t>MSR204170</t>
        </is>
      </c>
      <c r="B10" s="4" t="inlineStr">
        <is>
          <t>FNMA</t>
        </is>
      </c>
      <c r="C10" s="4" t="inlineStr">
        <is>
          <t>Conventional</t>
        </is>
      </c>
      <c r="D10" s="5" t="n">
        <v>46206</v>
      </c>
      <c r="E10" s="6" t="n">
        <v>395000</v>
      </c>
      <c r="F10" s="7" t="n">
        <v>393899.8</v>
      </c>
      <c r="G10" s="7" t="n">
        <v>396116.14</v>
      </c>
      <c r="H10" s="7" t="n">
        <v>2097.52</v>
      </c>
      <c r="I10" s="8" t="n">
        <v>118.82</v>
      </c>
      <c r="J10" s="9" t="n">
        <v>0.0639</v>
      </c>
      <c r="K10" s="4" t="inlineStr">
        <is>
          <t>Sale Payoff</t>
        </is>
      </c>
      <c r="L10" s="10" t="inlineStr">
        <is>
          <t>Removed from portfolio 07/03/2026</t>
        </is>
      </c>
    </row>
    <row r="11">
      <c r="A11" s="11" t="inlineStr">
        <is>
          <t>MSR205129</t>
        </is>
      </c>
      <c r="B11" s="11" t="inlineStr">
        <is>
          <t>FHLMC</t>
        </is>
      </c>
      <c r="C11" s="11" t="inlineStr">
        <is>
          <t>VA</t>
        </is>
      </c>
      <c r="D11" s="12" t="n">
        <v>46205</v>
      </c>
      <c r="E11" s="13" t="n">
        <v>440000</v>
      </c>
      <c r="F11" s="14" t="n">
        <v>438342.58</v>
      </c>
      <c r="G11" s="14" t="n">
        <v>440873.92</v>
      </c>
      <c r="H11" s="14" t="n">
        <v>2312.26</v>
      </c>
      <c r="I11" s="15" t="n">
        <v>219.08</v>
      </c>
      <c r="J11" s="16" t="n">
        <v>0.0633</v>
      </c>
      <c r="K11" s="11" t="inlineStr">
        <is>
          <t>Refinance Payoff</t>
        </is>
      </c>
      <c r="L11" s="17" t="inlineStr">
        <is>
          <t>Removed from portfolio 07/02/2026</t>
        </is>
      </c>
    </row>
    <row r="12">
      <c r="A12" s="4" t="inlineStr">
        <is>
          <t>MSR100628</t>
        </is>
      </c>
      <c r="B12" s="4" t="inlineStr">
        <is>
          <t>GNMA</t>
        </is>
      </c>
      <c r="C12" s="4" t="inlineStr">
        <is>
          <t>Conventional</t>
        </is>
      </c>
      <c r="D12" s="5" t="n">
        <v>46215</v>
      </c>
      <c r="E12" s="6" t="n">
        <v>395000</v>
      </c>
      <c r="F12" s="7" t="n">
        <v>367907.54</v>
      </c>
      <c r="G12" s="7" t="n">
        <v>369577.67</v>
      </c>
      <c r="H12" s="7" t="n">
        <v>1600.4</v>
      </c>
      <c r="I12" s="8" t="n">
        <v>69.73</v>
      </c>
      <c r="J12" s="9" t="n">
        <v>0.0522</v>
      </c>
      <c r="K12" s="4" t="inlineStr">
        <is>
          <t>Refinance Payoff</t>
        </is>
      </c>
      <c r="L12" s="10" t="inlineStr">
        <is>
          <t>Removed from portfolio 07/12/2026</t>
        </is>
      </c>
    </row>
    <row r="13">
      <c r="A13" s="11" t="inlineStr">
        <is>
          <t>MSR200160</t>
        </is>
      </c>
      <c r="B13" s="11" t="inlineStr">
        <is>
          <t>GNMA</t>
        </is>
      </c>
      <c r="C13" s="11" t="inlineStr">
        <is>
          <t>Conventional</t>
        </is>
      </c>
      <c r="D13" s="12" t="n">
        <v>46211</v>
      </c>
      <c r="E13" s="13" t="n">
        <v>430000</v>
      </c>
      <c r="F13" s="14" t="n">
        <v>426744.72</v>
      </c>
      <c r="G13" s="14" t="n">
        <v>429258.12</v>
      </c>
      <c r="H13" s="14" t="n">
        <v>2261.75</v>
      </c>
      <c r="I13" s="15" t="n">
        <v>251.65</v>
      </c>
      <c r="J13" s="16" t="n">
        <v>0.0636</v>
      </c>
      <c r="K13" s="11" t="inlineStr">
        <is>
          <t>Full Payoff</t>
        </is>
      </c>
      <c r="L13" s="17" t="inlineStr">
        <is>
          <t>Removed from portfolio 07/08/2026</t>
        </is>
      </c>
    </row>
    <row r="14">
      <c r="A14" s="4" t="inlineStr">
        <is>
          <t>MSR206026</t>
        </is>
      </c>
      <c r="B14" s="4" t="inlineStr">
        <is>
          <t>GNMA</t>
        </is>
      </c>
      <c r="C14" s="4" t="inlineStr">
        <is>
          <t>Conventional</t>
        </is>
      </c>
      <c r="D14" s="5" t="n">
        <v>46216</v>
      </c>
      <c r="E14" s="6" t="n">
        <v>265000</v>
      </c>
      <c r="F14" s="7" t="n">
        <v>264503.52</v>
      </c>
      <c r="G14" s="7" t="n">
        <v>266220.27</v>
      </c>
      <c r="H14" s="7" t="n">
        <v>1395.26</v>
      </c>
      <c r="I14" s="8" t="n">
        <v>321.49</v>
      </c>
      <c r="J14" s="9" t="n">
        <v>0.0633</v>
      </c>
      <c r="K14" s="4" t="inlineStr">
        <is>
          <t>Full Payoff</t>
        </is>
      </c>
      <c r="L14" s="10" t="inlineStr">
        <is>
          <t>Removed from portfolio 07/13/2026</t>
        </is>
      </c>
    </row>
    <row r="15">
      <c r="A15" s="11" t="inlineStr">
        <is>
          <t>MSR204080</t>
        </is>
      </c>
      <c r="B15" s="11" t="inlineStr">
        <is>
          <t>FHLMC</t>
        </is>
      </c>
      <c r="C15" s="11" t="inlineStr">
        <is>
          <t>Conventional</t>
        </is>
      </c>
      <c r="D15" s="12" t="n">
        <v>46215</v>
      </c>
      <c r="E15" s="13" t="n">
        <v>270000</v>
      </c>
      <c r="F15" s="14" t="n">
        <v>269234.81</v>
      </c>
      <c r="G15" s="14" t="n">
        <v>270862.71</v>
      </c>
      <c r="H15" s="14" t="n">
        <v>1413.48</v>
      </c>
      <c r="I15" s="15" t="n">
        <v>214.42</v>
      </c>
      <c r="J15" s="16" t="n">
        <v>0.063</v>
      </c>
      <c r="K15" s="11" t="inlineStr">
        <is>
          <t>Refinance Payoff</t>
        </is>
      </c>
      <c r="L15" s="17" t="inlineStr">
        <is>
          <t>Removed from portfolio 07/12/2026</t>
        </is>
      </c>
    </row>
    <row r="16">
      <c r="A16" s="4" t="inlineStr">
        <is>
          <t>MSR200068</t>
        </is>
      </c>
      <c r="B16" s="4" t="inlineStr">
        <is>
          <t>Portfolio</t>
        </is>
      </c>
      <c r="C16" s="4" t="inlineStr">
        <is>
          <t>Conventional</t>
        </is>
      </c>
      <c r="D16" s="5" t="n">
        <v>46214</v>
      </c>
      <c r="E16" s="6" t="n">
        <v>350000</v>
      </c>
      <c r="F16" s="7" t="n">
        <v>347400.42</v>
      </c>
      <c r="G16" s="7" t="n">
        <v>349502.95</v>
      </c>
      <c r="H16" s="7" t="n">
        <v>1870.17</v>
      </c>
      <c r="I16" s="8" t="n">
        <v>232.36</v>
      </c>
      <c r="J16" s="9" t="n">
        <v>0.0646</v>
      </c>
      <c r="K16" s="4" t="inlineStr">
        <is>
          <t>Refinance Payoff</t>
        </is>
      </c>
      <c r="L16" s="10" t="inlineStr">
        <is>
          <t>Removed from portfolio 07/11/2026</t>
        </is>
      </c>
    </row>
    <row r="17">
      <c r="A17" s="11" t="inlineStr">
        <is>
          <t>MSR206101</t>
        </is>
      </c>
      <c r="B17" s="11" t="inlineStr">
        <is>
          <t>FNMA</t>
        </is>
      </c>
      <c r="C17" s="11" t="inlineStr">
        <is>
          <t>FHA</t>
        </is>
      </c>
      <c r="D17" s="12" t="n">
        <v>46209</v>
      </c>
      <c r="E17" s="13" t="n">
        <v>460000</v>
      </c>
      <c r="F17" s="14" t="n">
        <v>459572.71</v>
      </c>
      <c r="G17" s="14" t="n">
        <v>462052.86</v>
      </c>
      <c r="H17" s="14" t="n">
        <v>2435.74</v>
      </c>
      <c r="I17" s="15" t="n">
        <v>44.41</v>
      </c>
      <c r="J17" s="16" t="n">
        <v>0.0636</v>
      </c>
      <c r="K17" s="11" t="inlineStr">
        <is>
          <t>Refinance Payoff</t>
        </is>
      </c>
      <c r="L17" s="17" t="inlineStr">
        <is>
          <t>Removed from portfolio 07/06/2026</t>
        </is>
      </c>
    </row>
    <row r="18">
      <c r="A18" s="4" t="inlineStr">
        <is>
          <t>MSR202081</t>
        </is>
      </c>
      <c r="B18" s="4" t="inlineStr">
        <is>
          <t>GNMA</t>
        </is>
      </c>
      <c r="C18" s="4" t="inlineStr">
        <is>
          <t>VA</t>
        </is>
      </c>
      <c r="D18" s="5" t="n">
        <v>46205</v>
      </c>
      <c r="E18" s="6" t="n">
        <v>385000</v>
      </c>
      <c r="F18" s="7" t="n">
        <v>362230.31</v>
      </c>
      <c r="G18" s="7" t="n">
        <v>364352.66</v>
      </c>
      <c r="H18" s="7" t="n">
        <v>1910.76</v>
      </c>
      <c r="I18" s="8" t="n">
        <v>211.59</v>
      </c>
      <c r="J18" s="9" t="n">
        <v>0.0633</v>
      </c>
      <c r="K18" s="4" t="inlineStr">
        <is>
          <t>Sale Payoff</t>
        </is>
      </c>
      <c r="L18" s="10" t="inlineStr">
        <is>
          <t>Removed from portfolio 07/02/2026</t>
        </is>
      </c>
    </row>
    <row r="19">
      <c r="A19" s="11" t="inlineStr">
        <is>
          <t>MSR100111</t>
        </is>
      </c>
      <c r="B19" s="11" t="inlineStr">
        <is>
          <t>GNMA</t>
        </is>
      </c>
      <c r="C19" s="11" t="inlineStr">
        <is>
          <t>Conventional</t>
        </is>
      </c>
      <c r="D19" s="12" t="n">
        <v>46223</v>
      </c>
      <c r="E19" s="13" t="n">
        <v>325000</v>
      </c>
      <c r="F19" s="14" t="n">
        <v>279530.96</v>
      </c>
      <c r="G19" s="14" t="n">
        <v>280725.25</v>
      </c>
      <c r="H19" s="14" t="n">
        <v>1099.49</v>
      </c>
      <c r="I19" s="15" t="n">
        <v>94.8</v>
      </c>
      <c r="J19" s="16" t="n">
        <v>0.0472</v>
      </c>
      <c r="K19" s="11" t="inlineStr">
        <is>
          <t>Full Payoff</t>
        </is>
      </c>
      <c r="L19" s="17" t="inlineStr">
        <is>
          <t>Removed from portfolio 07/20/2026</t>
        </is>
      </c>
    </row>
    <row r="20">
      <c r="A20" s="4" t="inlineStr">
        <is>
          <t>MSR203093</t>
        </is>
      </c>
      <c r="B20" s="4" t="inlineStr">
        <is>
          <t>FNMA</t>
        </is>
      </c>
      <c r="C20" s="4" t="inlineStr">
        <is>
          <t>VA</t>
        </is>
      </c>
      <c r="D20" s="5" t="n">
        <v>46228</v>
      </c>
      <c r="E20" s="6" t="n">
        <v>350000</v>
      </c>
      <c r="F20" s="7" t="n">
        <v>344038</v>
      </c>
      <c r="G20" s="7" t="n">
        <v>345903.31</v>
      </c>
      <c r="H20" s="7" t="n">
        <v>1786.13</v>
      </c>
      <c r="I20" s="8" t="n">
        <v>79.18000000000001</v>
      </c>
      <c r="J20" s="9" t="n">
        <v>0.0623</v>
      </c>
      <c r="K20" s="4" t="inlineStr">
        <is>
          <t>Refinance Payoff</t>
        </is>
      </c>
      <c r="L20" s="10" t="inlineStr">
        <is>
          <t>Removed from portfolio 07/25/2026</t>
        </is>
      </c>
    </row>
    <row r="21">
      <c r="A21" s="11" t="inlineStr">
        <is>
          <t>MSR206204</t>
        </is>
      </c>
      <c r="B21" s="11" t="inlineStr">
        <is>
          <t>FHLMC</t>
        </is>
      </c>
      <c r="C21" s="11" t="inlineStr">
        <is>
          <t>Conventional</t>
        </is>
      </c>
      <c r="D21" s="12" t="n">
        <v>46230</v>
      </c>
      <c r="E21" s="13" t="n">
        <v>255000</v>
      </c>
      <c r="F21" s="14" t="n">
        <v>254758.51</v>
      </c>
      <c r="G21" s="14" t="n">
        <v>256372.53</v>
      </c>
      <c r="H21" s="14" t="n">
        <v>1328.99</v>
      </c>
      <c r="I21" s="15" t="n">
        <v>285.03</v>
      </c>
      <c r="J21" s="16" t="n">
        <v>0.0626</v>
      </c>
      <c r="K21" s="11" t="inlineStr">
        <is>
          <t>Refinance Payoff</t>
        </is>
      </c>
      <c r="L21" s="17" t="inlineStr">
        <is>
          <t>Removed from portfolio 07/27/2026</t>
        </is>
      </c>
    </row>
    <row r="22">
      <c r="A22" s="4" t="inlineStr">
        <is>
          <t>MSR100416</t>
        </is>
      </c>
      <c r="B22" s="4" t="inlineStr">
        <is>
          <t>FHLMC</t>
        </is>
      </c>
      <c r="C22" s="4" t="inlineStr">
        <is>
          <t>Conventional</t>
        </is>
      </c>
      <c r="D22" s="5" t="n">
        <v>46213</v>
      </c>
      <c r="E22" s="6" t="n">
        <v>380000</v>
      </c>
      <c r="F22" s="7" t="n">
        <v>224044.12</v>
      </c>
      <c r="G22" s="7" t="n">
        <v>225249.5</v>
      </c>
      <c r="H22" s="7" t="n">
        <v>903.64</v>
      </c>
      <c r="I22" s="8" t="n">
        <v>301.74</v>
      </c>
      <c r="J22" s="9" t="n">
        <v>0.0484</v>
      </c>
      <c r="K22" s="4" t="inlineStr">
        <is>
          <t>Refinance Payoff</t>
        </is>
      </c>
      <c r="L22" s="10" t="inlineStr">
        <is>
          <t>Removed from portfolio 07/10/2026</t>
        </is>
      </c>
    </row>
    <row r="23">
      <c r="A23" s="11" t="inlineStr">
        <is>
          <t>MSR202031</t>
        </is>
      </c>
      <c r="B23" s="11" t="inlineStr">
        <is>
          <t>FNMA</t>
        </is>
      </c>
      <c r="C23" s="11" t="inlineStr">
        <is>
          <t>Conventional</t>
        </is>
      </c>
      <c r="D23" s="12" t="n">
        <v>46221</v>
      </c>
      <c r="E23" s="13" t="n">
        <v>445000</v>
      </c>
      <c r="F23" s="14" t="n">
        <v>441997.79</v>
      </c>
      <c r="G23" s="14" t="n">
        <v>444377.72</v>
      </c>
      <c r="H23" s="14" t="n">
        <v>2302.07</v>
      </c>
      <c r="I23" s="15" t="n">
        <v>77.86</v>
      </c>
      <c r="J23" s="16" t="n">
        <v>0.0625</v>
      </c>
      <c r="K23" s="11" t="inlineStr">
        <is>
          <t>Refinance Payoff</t>
        </is>
      </c>
      <c r="L23" s="17" t="inlineStr">
        <is>
          <t>Removed from portfolio 07/18/2026</t>
        </is>
      </c>
    </row>
    <row r="24">
      <c r="A24" s="4" t="inlineStr">
        <is>
          <t>MSR202154</t>
        </is>
      </c>
      <c r="B24" s="4" t="inlineStr">
        <is>
          <t>GNMA</t>
        </is>
      </c>
      <c r="C24" s="4" t="inlineStr">
        <is>
          <t>FHA</t>
        </is>
      </c>
      <c r="D24" s="5" t="n">
        <v>46226</v>
      </c>
      <c r="E24" s="6" t="n">
        <v>385000</v>
      </c>
      <c r="F24" s="7" t="n">
        <v>383079.02</v>
      </c>
      <c r="G24" s="7" t="n">
        <v>385302.17</v>
      </c>
      <c r="H24" s="7" t="n">
        <v>1928.16</v>
      </c>
      <c r="I24" s="8" t="n">
        <v>294.99</v>
      </c>
      <c r="J24" s="9" t="n">
        <v>0.0604</v>
      </c>
      <c r="K24" s="4" t="inlineStr">
        <is>
          <t>Refinance Payoff</t>
        </is>
      </c>
      <c r="L24" s="10" t="inlineStr">
        <is>
          <t>Removed from portfolio 07/23/2026</t>
        </is>
      </c>
    </row>
    <row r="25">
      <c r="A25" s="11" t="inlineStr">
        <is>
          <t>MSR204196</t>
        </is>
      </c>
      <c r="B25" s="11" t="inlineStr">
        <is>
          <t>FNMA</t>
        </is>
      </c>
      <c r="C25" s="11" t="inlineStr">
        <is>
          <t>VA</t>
        </is>
      </c>
      <c r="D25" s="12" t="n">
        <v>46220</v>
      </c>
      <c r="E25" s="13" t="n">
        <v>240000</v>
      </c>
      <c r="F25" s="14" t="n">
        <v>239057.07</v>
      </c>
      <c r="G25" s="14" t="n">
        <v>240481.38</v>
      </c>
      <c r="H25" s="14" t="n">
        <v>1217.2</v>
      </c>
      <c r="I25" s="15" t="n">
        <v>207.11</v>
      </c>
      <c r="J25" s="16" t="n">
        <v>0.0611</v>
      </c>
      <c r="K25" s="11" t="inlineStr">
        <is>
          <t>Sale Payoff</t>
        </is>
      </c>
      <c r="L25" s="17" t="inlineStr">
        <is>
          <t>Removed from portfolio 07/17/2026</t>
        </is>
      </c>
    </row>
    <row r="26">
      <c r="A26" s="4" t="inlineStr">
        <is>
          <t>MSR204098</t>
        </is>
      </c>
      <c r="B26" s="4" t="inlineStr">
        <is>
          <t>Portfolio</t>
        </is>
      </c>
      <c r="C26" s="4" t="inlineStr">
        <is>
          <t>FHA</t>
        </is>
      </c>
      <c r="D26" s="5" t="n">
        <v>46227</v>
      </c>
      <c r="E26" s="6" t="n">
        <v>380000</v>
      </c>
      <c r="F26" s="7" t="n">
        <v>378538.08</v>
      </c>
      <c r="G26" s="7" t="n">
        <v>380806.02</v>
      </c>
      <c r="H26" s="7" t="n">
        <v>1962.09</v>
      </c>
      <c r="I26" s="8" t="n">
        <v>305.85</v>
      </c>
      <c r="J26" s="9" t="n">
        <v>0.0622</v>
      </c>
      <c r="K26" s="4" t="inlineStr">
        <is>
          <t>Full Payoff</t>
        </is>
      </c>
      <c r="L26" s="10" t="inlineStr">
        <is>
          <t>Removed from portfolio 07/24/2026</t>
        </is>
      </c>
    </row>
    <row r="27">
      <c r="A27" s="11" t="inlineStr">
        <is>
          <t>MSR205066</t>
        </is>
      </c>
      <c r="B27" s="11" t="inlineStr">
        <is>
          <t>Portfolio</t>
        </is>
      </c>
      <c r="C27" s="11" t="inlineStr">
        <is>
          <t>USDA</t>
        </is>
      </c>
      <c r="D27" s="12" t="n">
        <v>46229</v>
      </c>
      <c r="E27" s="13" t="n">
        <v>410000</v>
      </c>
      <c r="F27" s="14" t="n">
        <v>405838.35</v>
      </c>
      <c r="G27" s="14" t="n">
        <v>408004.1</v>
      </c>
      <c r="H27" s="14" t="n">
        <v>2113.74</v>
      </c>
      <c r="I27" s="15" t="n">
        <v>52.01</v>
      </c>
      <c r="J27" s="16" t="n">
        <v>0.0625</v>
      </c>
      <c r="K27" s="11" t="inlineStr">
        <is>
          <t>Refinance Payoff</t>
        </is>
      </c>
      <c r="L27" s="17" t="inlineStr">
        <is>
          <t>Removed from portfolio 07/26/2026</t>
        </is>
      </c>
    </row>
    <row r="28">
      <c r="A28" s="4" t="inlineStr">
        <is>
          <t>MSR206209</t>
        </is>
      </c>
      <c r="B28" s="4" t="inlineStr">
        <is>
          <t>FNMA</t>
        </is>
      </c>
      <c r="C28" s="4" t="inlineStr">
        <is>
          <t>Conventional</t>
        </is>
      </c>
      <c r="D28" s="5" t="n">
        <v>46218</v>
      </c>
      <c r="E28" s="6" t="n">
        <v>490000</v>
      </c>
      <c r="F28" s="7" t="n">
        <v>489080.2</v>
      </c>
      <c r="G28" s="7" t="n">
        <v>491981.72</v>
      </c>
      <c r="H28" s="7" t="n">
        <v>2575.82</v>
      </c>
      <c r="I28" s="8" t="n">
        <v>325.7</v>
      </c>
      <c r="J28" s="9" t="n">
        <v>0.06320000000000001</v>
      </c>
      <c r="K28" s="4" t="inlineStr">
        <is>
          <t>Sale Payoff</t>
        </is>
      </c>
      <c r="L28" s="10" t="inlineStr">
        <is>
          <t>Removed from portfolio 07/15/2026</t>
        </is>
      </c>
    </row>
    <row r="29">
      <c r="A29" s="11" t="inlineStr">
        <is>
          <t>MSR200143</t>
        </is>
      </c>
      <c r="B29" s="11" t="inlineStr">
        <is>
          <t>FNMA</t>
        </is>
      </c>
      <c r="C29" s="11" t="inlineStr">
        <is>
          <t>Conventional</t>
        </is>
      </c>
      <c r="D29" s="12" t="n">
        <v>46212</v>
      </c>
      <c r="E29" s="13" t="n">
        <v>360000</v>
      </c>
      <c r="F29" s="14" t="n">
        <v>357839.07</v>
      </c>
      <c r="G29" s="14" t="n">
        <v>359672.65</v>
      </c>
      <c r="H29" s="14" t="n">
        <v>1801.12</v>
      </c>
      <c r="I29" s="15" t="n">
        <v>32.46</v>
      </c>
      <c r="J29" s="16" t="n">
        <v>0.0604</v>
      </c>
      <c r="K29" s="11" t="inlineStr">
        <is>
          <t>Refinance Payoff</t>
        </is>
      </c>
      <c r="L29" s="17" t="inlineStr">
        <is>
          <t>Removed from portfolio 07/09/2026</t>
        </is>
      </c>
    </row>
    <row r="30">
      <c r="A30" s="4" t="inlineStr">
        <is>
          <t>MSR100225</t>
        </is>
      </c>
      <c r="B30" s="4" t="inlineStr">
        <is>
          <t>FNMA</t>
        </is>
      </c>
      <c r="C30" s="4" t="inlineStr">
        <is>
          <t>VA</t>
        </is>
      </c>
      <c r="D30" s="5" t="n">
        <v>46224</v>
      </c>
      <c r="E30" s="6" t="n">
        <v>240000</v>
      </c>
      <c r="F30" s="7" t="n">
        <v>205686.98</v>
      </c>
      <c r="G30" s="7" t="n">
        <v>206604.01</v>
      </c>
      <c r="H30" s="7" t="n">
        <v>587.92</v>
      </c>
      <c r="I30" s="8" t="n">
        <v>329.11</v>
      </c>
      <c r="J30" s="9" t="n">
        <v>0.0343</v>
      </c>
      <c r="K30" s="4" t="inlineStr">
        <is>
          <t>Refinance Payoff</t>
        </is>
      </c>
      <c r="L30" s="10" t="inlineStr">
        <is>
          <t>Removed from portfolio 07/21/2026</t>
        </is>
      </c>
    </row>
    <row r="31">
      <c r="A31" s="11" t="inlineStr">
        <is>
          <t>MSR204151</t>
        </is>
      </c>
      <c r="B31" s="11" t="inlineStr">
        <is>
          <t>FNMA</t>
        </is>
      </c>
      <c r="C31" s="11" t="inlineStr">
        <is>
          <t>FHA</t>
        </is>
      </c>
      <c r="D31" s="12" t="n">
        <v>46221</v>
      </c>
      <c r="E31" s="13" t="n">
        <v>460000</v>
      </c>
      <c r="F31" s="14" t="n">
        <v>455105.73</v>
      </c>
      <c r="G31" s="14" t="n">
        <v>457506.66</v>
      </c>
      <c r="H31" s="14" t="n">
        <v>2362.76</v>
      </c>
      <c r="I31" s="15" t="n">
        <v>38.17</v>
      </c>
      <c r="J31" s="16" t="n">
        <v>0.0623</v>
      </c>
      <c r="K31" s="11" t="inlineStr">
        <is>
          <t>Full Payoff</t>
        </is>
      </c>
      <c r="L31" s="17" t="inlineStr">
        <is>
          <t>Removed from portfolio 07/18/2026</t>
        </is>
      </c>
    </row>
    <row r="32">
      <c r="A32" s="18" t="inlineStr">
        <is>
          <t>TOTALS</t>
        </is>
      </c>
      <c r="B32" s="19" t="n"/>
      <c r="C32" s="19" t="n"/>
      <c r="D32" s="19" t="n"/>
      <c r="E32" s="20">
        <f>SUM(E4:E31)</f>
        <v/>
      </c>
      <c r="F32" s="20">
        <f>SUM(F4:F31)</f>
        <v/>
      </c>
      <c r="G32" s="20">
        <f>SUM(G4:G31)</f>
        <v/>
      </c>
      <c r="H32" s="20">
        <f>SUM(H4:H31)</f>
        <v/>
      </c>
      <c r="I32" s="20">
        <f>SUM(I4:I31)</f>
        <v/>
      </c>
      <c r="J32" s="19" t="n"/>
      <c r="K32" s="19" t="n"/>
      <c r="L32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2026-02-22T20:26:57Z</dcterms:created>
  <dcterms:modified xmlns:dcterms="http://purl.org/dc/terms/" xmlns:xsi="http://www.w3.org/2001/XMLSchema-instance" xsi:type="dcterms:W3CDTF">2026-02-22T20:26:57Z</dcterms:modified>
</cp:coreProperties>
</file>