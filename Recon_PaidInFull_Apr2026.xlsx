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Apr 2026  |  17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MSR100321</t>
        </is>
      </c>
      <c r="B4" s="4" t="inlineStr">
        <is>
          <t>FNMA</t>
        </is>
      </c>
      <c r="C4" s="4" t="inlineStr">
        <is>
          <t>FHA</t>
        </is>
      </c>
      <c r="D4" s="5" t="n">
        <v>46120</v>
      </c>
      <c r="E4" s="6" t="n">
        <v>405000</v>
      </c>
      <c r="F4" s="7" t="n">
        <v>347531.97</v>
      </c>
      <c r="G4" s="7" t="n">
        <v>349053.34</v>
      </c>
      <c r="H4" s="7" t="n">
        <v>1204.78</v>
      </c>
      <c r="I4" s="8" t="n">
        <v>316.59</v>
      </c>
      <c r="J4" s="9" t="n">
        <v>0.0416</v>
      </c>
      <c r="K4" s="4" t="inlineStr">
        <is>
          <t>Full Payoff</t>
        </is>
      </c>
      <c r="L4" s="10" t="inlineStr">
        <is>
          <t>Removed from portfolio 04/08/2026</t>
        </is>
      </c>
    </row>
    <row r="5">
      <c r="A5" s="11" t="inlineStr">
        <is>
          <t>MSR100547</t>
        </is>
      </c>
      <c r="B5" s="11" t="inlineStr">
        <is>
          <t>FNMA</t>
        </is>
      </c>
      <c r="C5" s="11" t="inlineStr">
        <is>
          <t>Conventional</t>
        </is>
      </c>
      <c r="D5" s="12" t="n">
        <v>46126</v>
      </c>
      <c r="E5" s="13" t="n">
        <v>230000</v>
      </c>
      <c r="F5" s="14" t="n">
        <v>182694.46</v>
      </c>
      <c r="G5" s="14" t="n">
        <v>183291.67</v>
      </c>
      <c r="H5" s="14" t="n">
        <v>584.62</v>
      </c>
      <c r="I5" s="15" t="n">
        <v>12.59</v>
      </c>
      <c r="J5" s="16" t="n">
        <v>0.0384</v>
      </c>
      <c r="K5" s="11" t="inlineStr">
        <is>
          <t>Full Payoff</t>
        </is>
      </c>
      <c r="L5" s="17" t="inlineStr">
        <is>
          <t>Removed from portfolio 04/14/2026</t>
        </is>
      </c>
    </row>
    <row r="6">
      <c r="A6" s="4" t="inlineStr">
        <is>
          <t>MSR100533</t>
        </is>
      </c>
      <c r="B6" s="4" t="inlineStr">
        <is>
          <t>FNMA</t>
        </is>
      </c>
      <c r="C6" s="4" t="inlineStr">
        <is>
          <t>Conventional</t>
        </is>
      </c>
      <c r="D6" s="5" t="n">
        <v>46136</v>
      </c>
      <c r="E6" s="6" t="n">
        <v>405000</v>
      </c>
      <c r="F6" s="7" t="n">
        <v>370536.33</v>
      </c>
      <c r="G6" s="7" t="n">
        <v>372631.47</v>
      </c>
      <c r="H6" s="7" t="n">
        <v>1963.84</v>
      </c>
      <c r="I6" s="8" t="n">
        <v>131.3</v>
      </c>
      <c r="J6" s="9" t="n">
        <v>0.0636</v>
      </c>
      <c r="K6" s="4" t="inlineStr">
        <is>
          <t>Estate Payoff</t>
        </is>
      </c>
      <c r="L6" s="10" t="inlineStr">
        <is>
          <t>Removed from portfolio 04/24/2026</t>
        </is>
      </c>
    </row>
    <row r="7">
      <c r="A7" s="11" t="inlineStr">
        <is>
          <t>MSR202083</t>
        </is>
      </c>
      <c r="B7" s="11" t="inlineStr">
        <is>
          <t>FNMA</t>
        </is>
      </c>
      <c r="C7" s="11" t="inlineStr">
        <is>
          <t>FHA</t>
        </is>
      </c>
      <c r="D7" s="12" t="n">
        <v>46139</v>
      </c>
      <c r="E7" s="13" t="n">
        <v>175000</v>
      </c>
      <c r="F7" s="14" t="n">
        <v>174349.61</v>
      </c>
      <c r="G7" s="14" t="n">
        <v>175458.87</v>
      </c>
      <c r="H7" s="14" t="n">
        <v>929.86</v>
      </c>
      <c r="I7" s="15" t="n">
        <v>179.4</v>
      </c>
      <c r="J7" s="16" t="n">
        <v>0.064</v>
      </c>
      <c r="K7" s="11" t="inlineStr">
        <is>
          <t>Full Payoff</t>
        </is>
      </c>
      <c r="L7" s="17" t="inlineStr">
        <is>
          <t>Removed from portfolio 04/27/2026</t>
        </is>
      </c>
    </row>
    <row r="8">
      <c r="A8" s="4" t="inlineStr">
        <is>
          <t>MSR202034</t>
        </is>
      </c>
      <c r="B8" s="4" t="inlineStr">
        <is>
          <t>GNMA</t>
        </is>
      </c>
      <c r="C8" s="4" t="inlineStr">
        <is>
          <t>Conventional</t>
        </is>
      </c>
      <c r="D8" s="5" t="n">
        <v>46127</v>
      </c>
      <c r="E8" s="6" t="n">
        <v>440000</v>
      </c>
      <c r="F8" s="7" t="n">
        <v>438310.5</v>
      </c>
      <c r="G8" s="7" t="n">
        <v>440833.61</v>
      </c>
      <c r="H8" s="7" t="n">
        <v>2275.56</v>
      </c>
      <c r="I8" s="8" t="n">
        <v>247.55</v>
      </c>
      <c r="J8" s="9" t="n">
        <v>0.0623</v>
      </c>
      <c r="K8" s="4" t="inlineStr">
        <is>
          <t>Sale Payoff</t>
        </is>
      </c>
      <c r="L8" s="10" t="inlineStr">
        <is>
          <t>Removed from portfolio 04/15/2026</t>
        </is>
      </c>
    </row>
    <row r="9">
      <c r="A9" s="11" t="inlineStr">
        <is>
          <t>MSR203053</t>
        </is>
      </c>
      <c r="B9" s="11" t="inlineStr">
        <is>
          <t>FNMA</t>
        </is>
      </c>
      <c r="C9" s="11" t="inlineStr">
        <is>
          <t>Conventional</t>
        </is>
      </c>
      <c r="D9" s="12" t="n">
        <v>46125</v>
      </c>
      <c r="E9" s="13" t="n">
        <v>375000</v>
      </c>
      <c r="F9" s="14" t="n">
        <v>372466.85</v>
      </c>
      <c r="G9" s="14" t="n">
        <v>374655.37</v>
      </c>
      <c r="H9" s="14" t="n">
        <v>1936.83</v>
      </c>
      <c r="I9" s="15" t="n">
        <v>251.69</v>
      </c>
      <c r="J9" s="16" t="n">
        <v>0.0624</v>
      </c>
      <c r="K9" s="11" t="inlineStr">
        <is>
          <t>Refinance Payoff</t>
        </is>
      </c>
      <c r="L9" s="17" t="inlineStr">
        <is>
          <t>Removed from portfolio 04/13/2026</t>
        </is>
      </c>
    </row>
    <row r="10">
      <c r="A10" s="4" t="inlineStr">
        <is>
          <t>MSR100350</t>
        </is>
      </c>
      <c r="B10" s="4" t="inlineStr">
        <is>
          <t>FNMA</t>
        </is>
      </c>
      <c r="C10" s="4" t="inlineStr">
        <is>
          <t>Conventional</t>
        </is>
      </c>
      <c r="D10" s="5" t="n">
        <v>46129</v>
      </c>
      <c r="E10" s="6" t="n">
        <v>395000</v>
      </c>
      <c r="F10" s="7" t="n">
        <v>357521.48</v>
      </c>
      <c r="G10" s="7" t="n">
        <v>358638.99</v>
      </c>
      <c r="H10" s="7" t="n">
        <v>1018.94</v>
      </c>
      <c r="I10" s="8" t="n">
        <v>98.56999999999999</v>
      </c>
      <c r="J10" s="9" t="n">
        <v>0.0342</v>
      </c>
      <c r="K10" s="4" t="inlineStr">
        <is>
          <t>Refinance Payoff</t>
        </is>
      </c>
      <c r="L10" s="10" t="inlineStr">
        <is>
          <t>Removed from portfolio 04/17/2026</t>
        </is>
      </c>
    </row>
    <row r="11">
      <c r="A11" s="11" t="inlineStr">
        <is>
          <t>MSR100025</t>
        </is>
      </c>
      <c r="B11" s="11" t="inlineStr">
        <is>
          <t>FHLMC</t>
        </is>
      </c>
      <c r="C11" s="11" t="inlineStr">
        <is>
          <t>Conventional</t>
        </is>
      </c>
      <c r="D11" s="12" t="n">
        <v>46128</v>
      </c>
      <c r="E11" s="13" t="n">
        <v>220000</v>
      </c>
      <c r="F11" s="14" t="n">
        <v>174752.94</v>
      </c>
      <c r="G11" s="14" t="n">
        <v>175527.41</v>
      </c>
      <c r="H11" s="14" t="n">
        <v>452.9</v>
      </c>
      <c r="I11" s="15" t="n">
        <v>321.57</v>
      </c>
      <c r="J11" s="16" t="n">
        <v>0.0311</v>
      </c>
      <c r="K11" s="11" t="inlineStr">
        <is>
          <t>Refinance Payoff</t>
        </is>
      </c>
      <c r="L11" s="17" t="inlineStr">
        <is>
          <t>Removed from portfolio 04/16/2026</t>
        </is>
      </c>
    </row>
    <row r="12">
      <c r="A12" s="4" t="inlineStr">
        <is>
          <t>MSR100256</t>
        </is>
      </c>
      <c r="B12" s="4" t="inlineStr">
        <is>
          <t>FNMA</t>
        </is>
      </c>
      <c r="C12" s="4" t="inlineStr">
        <is>
          <t>Conventional</t>
        </is>
      </c>
      <c r="D12" s="5" t="n">
        <v>46139</v>
      </c>
      <c r="E12" s="6" t="n">
        <v>440000</v>
      </c>
      <c r="F12" s="7" t="n">
        <v>336599.8</v>
      </c>
      <c r="G12" s="7" t="n">
        <v>337988.64</v>
      </c>
      <c r="H12" s="7" t="n">
        <v>1155.66</v>
      </c>
      <c r="I12" s="8" t="n">
        <v>233.18</v>
      </c>
      <c r="J12" s="9" t="n">
        <v>0.0412</v>
      </c>
      <c r="K12" s="4" t="inlineStr">
        <is>
          <t>Estate Payoff</t>
        </is>
      </c>
      <c r="L12" s="10" t="inlineStr">
        <is>
          <t>Removed from portfolio 04/27/2026</t>
        </is>
      </c>
    </row>
    <row r="13">
      <c r="A13" s="11" t="inlineStr">
        <is>
          <t>MSR100199</t>
        </is>
      </c>
      <c r="B13" s="11" t="inlineStr">
        <is>
          <t>FHLMC</t>
        </is>
      </c>
      <c r="C13" s="11" t="inlineStr">
        <is>
          <t>Conventional</t>
        </is>
      </c>
      <c r="D13" s="12" t="n">
        <v>46130</v>
      </c>
      <c r="E13" s="13" t="n">
        <v>405000</v>
      </c>
      <c r="F13" s="14" t="n">
        <v>317611.65</v>
      </c>
      <c r="G13" s="14" t="n">
        <v>318862.14</v>
      </c>
      <c r="H13" s="14" t="n">
        <v>936.95</v>
      </c>
      <c r="I13" s="15" t="n">
        <v>313.54</v>
      </c>
      <c r="J13" s="16" t="n">
        <v>0.0354</v>
      </c>
      <c r="K13" s="11" t="inlineStr">
        <is>
          <t>Full Payoff</t>
        </is>
      </c>
      <c r="L13" s="17" t="inlineStr">
        <is>
          <t>Removed from portfolio 04/18/2026</t>
        </is>
      </c>
    </row>
    <row r="14">
      <c r="A14" s="4" t="inlineStr">
        <is>
          <t>MSR203015</t>
        </is>
      </c>
      <c r="B14" s="4" t="inlineStr">
        <is>
          <t>FNMA</t>
        </is>
      </c>
      <c r="C14" s="4" t="inlineStr">
        <is>
          <t>Conventional</t>
        </is>
      </c>
      <c r="D14" s="5" t="n">
        <v>46139</v>
      </c>
      <c r="E14" s="6" t="n">
        <v>225000</v>
      </c>
      <c r="F14" s="7" t="n">
        <v>224566.11</v>
      </c>
      <c r="G14" s="7" t="n">
        <v>225767.61</v>
      </c>
      <c r="H14" s="7" t="n">
        <v>1156.52</v>
      </c>
      <c r="I14" s="8" t="n">
        <v>44.98</v>
      </c>
      <c r="J14" s="9" t="n">
        <v>0.0618</v>
      </c>
      <c r="K14" s="4" t="inlineStr">
        <is>
          <t>Refinance Payoff</t>
        </is>
      </c>
      <c r="L14" s="10" t="inlineStr">
        <is>
          <t>Removed from portfolio 04/27/2026</t>
        </is>
      </c>
    </row>
    <row r="15">
      <c r="A15" s="11" t="inlineStr">
        <is>
          <t>MSR203153</t>
        </is>
      </c>
      <c r="B15" s="11" t="inlineStr">
        <is>
          <t>FNMA</t>
        </is>
      </c>
      <c r="C15" s="11" t="inlineStr">
        <is>
          <t>VA</t>
        </is>
      </c>
      <c r="D15" s="12" t="n">
        <v>46121</v>
      </c>
      <c r="E15" s="13" t="n">
        <v>315000</v>
      </c>
      <c r="F15" s="14" t="n">
        <v>314095.2</v>
      </c>
      <c r="G15" s="14" t="n">
        <v>315751.93</v>
      </c>
      <c r="H15" s="14" t="n">
        <v>1630.68</v>
      </c>
      <c r="I15" s="15" t="n">
        <v>26.05</v>
      </c>
      <c r="J15" s="16" t="n">
        <v>0.0623</v>
      </c>
      <c r="K15" s="11" t="inlineStr">
        <is>
          <t>Estate Payoff</t>
        </is>
      </c>
      <c r="L15" s="17" t="inlineStr">
        <is>
          <t>Removed from portfolio 04/09/2026</t>
        </is>
      </c>
    </row>
    <row r="16">
      <c r="A16" s="4" t="inlineStr">
        <is>
          <t>MSR100823</t>
        </is>
      </c>
      <c r="B16" s="4" t="inlineStr">
        <is>
          <t>FNMA</t>
        </is>
      </c>
      <c r="C16" s="4" t="inlineStr">
        <is>
          <t>Conventional</t>
        </is>
      </c>
      <c r="D16" s="5" t="n">
        <v>46116</v>
      </c>
      <c r="E16" s="6" t="n">
        <v>195000</v>
      </c>
      <c r="F16" s="7" t="n">
        <v>161179.69</v>
      </c>
      <c r="G16" s="7" t="n">
        <v>161835.33</v>
      </c>
      <c r="H16" s="7" t="n">
        <v>601.74</v>
      </c>
      <c r="I16" s="8" t="n">
        <v>53.9</v>
      </c>
      <c r="J16" s="9" t="n">
        <v>0.0448</v>
      </c>
      <c r="K16" s="4" t="inlineStr">
        <is>
          <t>Refinance Payoff</t>
        </is>
      </c>
      <c r="L16" s="10" t="inlineStr">
        <is>
          <t>Removed from portfolio 04/04/2026</t>
        </is>
      </c>
    </row>
    <row r="17">
      <c r="A17" s="11" t="inlineStr">
        <is>
          <t>MSR100850</t>
        </is>
      </c>
      <c r="B17" s="11" t="inlineStr">
        <is>
          <t>GNMA</t>
        </is>
      </c>
      <c r="C17" s="11" t="inlineStr">
        <is>
          <t>FHA</t>
        </is>
      </c>
      <c r="D17" s="12" t="n">
        <v>46138</v>
      </c>
      <c r="E17" s="13" t="n">
        <v>390000</v>
      </c>
      <c r="F17" s="14" t="n">
        <v>345308.15</v>
      </c>
      <c r="G17" s="14" t="n">
        <v>346207.77</v>
      </c>
      <c r="H17" s="14" t="n">
        <v>869.03</v>
      </c>
      <c r="I17" s="15" t="n">
        <v>30.59</v>
      </c>
      <c r="J17" s="16" t="n">
        <v>0.0302</v>
      </c>
      <c r="K17" s="11" t="inlineStr">
        <is>
          <t>Refinance Payoff</t>
        </is>
      </c>
      <c r="L17" s="17" t="inlineStr">
        <is>
          <t>Removed from portfolio 04/26/2026</t>
        </is>
      </c>
    </row>
    <row r="18">
      <c r="A18" s="4" t="inlineStr">
        <is>
          <t>MSR203142</t>
        </is>
      </c>
      <c r="B18" s="4" t="inlineStr">
        <is>
          <t>GNMA</t>
        </is>
      </c>
      <c r="C18" s="4" t="inlineStr">
        <is>
          <t>FHA</t>
        </is>
      </c>
      <c r="D18" s="5" t="n">
        <v>46114</v>
      </c>
      <c r="E18" s="6" t="n">
        <v>370000</v>
      </c>
      <c r="F18" s="7" t="n">
        <v>369659.62</v>
      </c>
      <c r="G18" s="7" t="n">
        <v>371887.31</v>
      </c>
      <c r="H18" s="7" t="n">
        <v>1974.6</v>
      </c>
      <c r="I18" s="8" t="n">
        <v>253.09</v>
      </c>
      <c r="J18" s="9" t="n">
        <v>0.0641</v>
      </c>
      <c r="K18" s="4" t="inlineStr">
        <is>
          <t>Estate Payoff</t>
        </is>
      </c>
      <c r="L18" s="10" t="inlineStr">
        <is>
          <t>Removed from portfolio 04/02/2026</t>
        </is>
      </c>
    </row>
    <row r="19">
      <c r="A19" s="11" t="inlineStr">
        <is>
          <t>MSR202050</t>
        </is>
      </c>
      <c r="B19" s="11" t="inlineStr">
        <is>
          <t>FNMA</t>
        </is>
      </c>
      <c r="C19" s="11" t="inlineStr">
        <is>
          <t>Conventional</t>
        </is>
      </c>
      <c r="D19" s="12" t="n">
        <v>46133</v>
      </c>
      <c r="E19" s="13" t="n">
        <v>385000</v>
      </c>
      <c r="F19" s="14" t="n">
        <v>384281.47</v>
      </c>
      <c r="G19" s="14" t="n">
        <v>386339.59</v>
      </c>
      <c r="H19" s="14" t="n">
        <v>2033.49</v>
      </c>
      <c r="I19" s="15" t="n">
        <v>24.63</v>
      </c>
      <c r="J19" s="16" t="n">
        <v>0.0635</v>
      </c>
      <c r="K19" s="11" t="inlineStr">
        <is>
          <t>Refinance Payoff</t>
        </is>
      </c>
      <c r="L19" s="17" t="inlineStr">
        <is>
          <t>Removed from portfolio 04/21/2026</t>
        </is>
      </c>
    </row>
    <row r="20">
      <c r="A20" s="4" t="inlineStr">
        <is>
          <t>MSR100171</t>
        </is>
      </c>
      <c r="B20" s="4" t="inlineStr">
        <is>
          <t>GNMA</t>
        </is>
      </c>
      <c r="C20" s="4" t="inlineStr">
        <is>
          <t>Conventional</t>
        </is>
      </c>
      <c r="D20" s="5" t="n">
        <v>46134</v>
      </c>
      <c r="E20" s="6" t="n">
        <v>335000</v>
      </c>
      <c r="F20" s="7" t="n">
        <v>278326.83</v>
      </c>
      <c r="G20" s="7" t="n">
        <v>279655.37</v>
      </c>
      <c r="H20" s="7" t="n">
        <v>1022.85</v>
      </c>
      <c r="I20" s="8" t="n">
        <v>305.69</v>
      </c>
      <c r="J20" s="9" t="n">
        <v>0.0441</v>
      </c>
      <c r="K20" s="4" t="inlineStr">
        <is>
          <t>Refinance Payoff</t>
        </is>
      </c>
      <c r="L20" s="10" t="inlineStr">
        <is>
          <t>Removed from portfolio 04/22/2026</t>
        </is>
      </c>
    </row>
    <row r="21">
      <c r="A21" s="18" t="inlineStr">
        <is>
          <t>TOTALS</t>
        </is>
      </c>
      <c r="B21" s="19" t="n"/>
      <c r="C21" s="19" t="n"/>
      <c r="D21" s="19" t="n"/>
      <c r="E21" s="20">
        <f>SUM(E4:E20)</f>
        <v/>
      </c>
      <c r="F21" s="20">
        <f>SUM(F4:F20)</f>
        <v/>
      </c>
      <c r="G21" s="20">
        <f>SUM(G4:G20)</f>
        <v/>
      </c>
      <c r="H21" s="20">
        <f>SUM(H4:H20)</f>
        <v/>
      </c>
      <c r="I21" s="20">
        <f>SUM(I4:I20)</f>
        <v/>
      </c>
      <c r="J21" s="19" t="n"/>
      <c r="K21" s="19" t="n"/>
      <c r="L21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2026-02-22T20:26:43Z</dcterms:created>
  <dcterms:modified xmlns:dcterms="http://purl.org/dc/terms/" xmlns:xsi="http://www.w3.org/2001/XMLSchema-instance" xsi:type="dcterms:W3CDTF">2026-02-22T20:26:43Z</dcterms:modified>
</cp:coreProperties>
</file>