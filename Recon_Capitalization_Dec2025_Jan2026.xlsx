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yyyy-mm-dd"/>
    <numFmt numFmtId="166" formatCode="MM/DD/YYYY"/>
  </numFmts>
  <fonts count="9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C00000"/>
      <sz val="9"/>
    </font>
    <font>
      <name val="Arial"/>
      <color rgb="000000FF"/>
      <sz val="9"/>
    </font>
    <font>
      <name val="Arial"/>
      <i val="1"/>
      <color rgb="000000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833C00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/>
    </xf>
    <xf numFmtId="0" fontId="0" fillId="5" borderId="1" pivotButton="0" quotePrefix="0" xfId="0"/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6" customWidth="1" min="4" max="4"/>
    <col width="20" customWidth="1" min="5" max="5"/>
    <col width="16" customWidth="1" min="6" max="6"/>
    <col width="11" customWidth="1" min="7" max="7"/>
    <col width="14" customWidth="1" min="8" max="8"/>
    <col width="26" customWidth="1" min="9" max="9"/>
    <col width="20" customWidth="1" min="10" max="10"/>
  </cols>
  <sheetData>
    <row r="1" ht="16" customHeight="1">
      <c r="A1" s="1" t="inlineStr">
        <is>
          <t>SIMULATED DATA — All loan information is synthetic and generated for testing purposes only. Not representative of any real portfolio.</t>
        </is>
      </c>
    </row>
    <row r="2" ht="26" customHeight="1">
      <c r="A2" s="2" t="inlineStr">
        <is>
          <t>RECONCILIATION — CAPITALIZATION  |  Dec 2025 – Jan 2026  |  3 Loans</t>
        </is>
      </c>
    </row>
    <row r="3" ht="28" customHeight="1">
      <c r="A3" s="3" t="inlineStr">
        <is>
          <t>Loan ID</t>
        </is>
      </c>
      <c r="B3" s="3" t="inlineStr">
        <is>
          <t>Dec Status</t>
        </is>
      </c>
      <c r="C3" s="3" t="inlineStr">
        <is>
          <t>Investor</t>
        </is>
      </c>
      <c r="D3" s="3" t="inlineStr">
        <is>
          <t>Prior UPB ($)</t>
        </is>
      </c>
      <c r="E3" s="3" t="inlineStr">
        <is>
          <t>Capitalized Amount ($)</t>
        </is>
      </c>
      <c r="F3" s="3" t="inlineStr">
        <is>
          <t>New UPB ($)</t>
        </is>
      </c>
      <c r="G3" s="3" t="inlineStr">
        <is>
          <t>Rate</t>
        </is>
      </c>
      <c r="H3" s="3" t="inlineStr">
        <is>
          <t>Effective Date</t>
        </is>
      </c>
      <c r="I3" s="3" t="inlineStr">
        <is>
          <t>Capitalization Type</t>
        </is>
      </c>
      <c r="J3" s="3" t="inlineStr">
        <is>
          <t>Authorization Ref</t>
        </is>
      </c>
    </row>
    <row r="4">
      <c r="A4" s="4" t="inlineStr">
        <is>
          <t>MSR100079</t>
        </is>
      </c>
      <c r="B4" s="5" t="inlineStr">
        <is>
          <t>90+ DPD</t>
        </is>
      </c>
      <c r="C4" s="4" t="inlineStr">
        <is>
          <t>FHLMC</t>
        </is>
      </c>
      <c r="D4" s="6" t="n">
        <v>282230.01</v>
      </c>
      <c r="E4" s="7" t="n">
        <v>418.12</v>
      </c>
      <c r="F4" s="6" t="n">
        <v>282648.13</v>
      </c>
      <c r="G4" s="8" t="n">
        <v>0.0738</v>
      </c>
      <c r="H4" s="9" t="n">
        <v>46027</v>
      </c>
      <c r="I4" s="10" t="inlineStr">
        <is>
          <t>Deferred Interest Capitalization</t>
        </is>
      </c>
      <c r="J4" s="11" t="inlineStr">
        <is>
          <t>AUTH-858344</t>
        </is>
      </c>
    </row>
    <row r="5">
      <c r="A5" s="12" t="inlineStr">
        <is>
          <t>MSR100530</t>
        </is>
      </c>
      <c r="B5" s="13" t="inlineStr">
        <is>
          <t>60 DPD</t>
        </is>
      </c>
      <c r="C5" s="12" t="inlineStr">
        <is>
          <t>FHLMC</t>
        </is>
      </c>
      <c r="D5" s="14" t="n">
        <v>314377.78</v>
      </c>
      <c r="E5" s="15" t="n">
        <v>1060.8</v>
      </c>
      <c r="F5" s="14" t="n">
        <v>315438.58</v>
      </c>
      <c r="G5" s="16" t="n">
        <v>0.0795</v>
      </c>
      <c r="H5" s="17" t="n">
        <v>46000</v>
      </c>
      <c r="I5" s="18" t="inlineStr">
        <is>
          <t>Escrow Advance Capitalization</t>
        </is>
      </c>
      <c r="J5" s="19" t="inlineStr">
        <is>
          <t>AUTH-631646</t>
        </is>
      </c>
    </row>
    <row r="6">
      <c r="A6" s="4" t="inlineStr">
        <is>
          <t>MSR100578</t>
        </is>
      </c>
      <c r="B6" s="5" t="inlineStr">
        <is>
          <t>60 DPD</t>
        </is>
      </c>
      <c r="C6" s="4" t="inlineStr">
        <is>
          <t>FNMA</t>
        </is>
      </c>
      <c r="D6" s="6" t="n">
        <v>246912.29</v>
      </c>
      <c r="E6" s="7" t="n">
        <v>650.1799999999999</v>
      </c>
      <c r="F6" s="6" t="n">
        <v>247562.47</v>
      </c>
      <c r="G6" s="8" t="n">
        <v>0.0795</v>
      </c>
      <c r="H6" s="9" t="n">
        <v>46039</v>
      </c>
      <c r="I6" s="10" t="inlineStr">
        <is>
          <t>Escrow Advance Capitalization</t>
        </is>
      </c>
      <c r="J6" s="11" t="inlineStr">
        <is>
          <t>AUTH-900882</t>
        </is>
      </c>
    </row>
    <row r="7">
      <c r="A7" s="20" t="inlineStr">
        <is>
          <t>TOTALS</t>
        </is>
      </c>
      <c r="B7" s="21" t="n"/>
      <c r="C7" s="21" t="n"/>
      <c r="D7" s="22">
        <f>SUM(D4:D6)</f>
        <v/>
      </c>
      <c r="E7" s="22">
        <f>SUM(E4:E6)</f>
        <v/>
      </c>
      <c r="F7" s="22">
        <f>SUM(F4:F6)</f>
        <v/>
      </c>
      <c r="G7" s="21" t="n"/>
      <c r="H7" s="21" t="n"/>
      <c r="I7" s="21" t="n"/>
      <c r="J7" s="21" t="n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2026-02-22T00:42:53Z</dcterms:created>
  <dcterms:modified xmlns:dcterms="http://purl.org/dc/terms/" xmlns:xsi="http://www.w3.org/2001/XMLSchema-instance" xsi:type="dcterms:W3CDTF">2026-02-22T00:42:53Z</dcterms:modified>
</cp:coreProperties>
</file>